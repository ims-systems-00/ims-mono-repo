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95"/>
  </bookViews>
  <sheets>
    <sheet name="Toolkit" sheetId="1" r:id="rId1"/>
    <sheet name="Overview" sheetId="2" r:id="rId2"/>
    <sheet name="DO NOT CHANGE or DELETE" sheetId="3" r:id="rId3"/>
  </sheets>
  <externalReferences>
    <externalReference r:id="rId7"/>
  </externalReferences>
  <calcPr calcId="144525"/>
</workbook>
</file>

<file path=xl/sharedStrings.xml><?xml version="1.0" encoding="utf-8"?>
<sst xmlns="http://schemas.openxmlformats.org/spreadsheetml/2006/main" count="793" uniqueCount="503">
  <si>
    <t>clause</t>
  </si>
  <si>
    <t>title</t>
  </si>
  <si>
    <t>description</t>
  </si>
  <si>
    <t>annex</t>
  </si>
  <si>
    <t>note</t>
  </si>
  <si>
    <t>UI</t>
  </si>
  <si>
    <t>type</t>
  </si>
  <si>
    <t>applicable_modules_label</t>
  </si>
  <si>
    <t>applicable_modules</t>
  </si>
  <si>
    <t>leaves</t>
  </si>
  <si>
    <t>expensereports</t>
  </si>
  <si>
    <t>hardwareassets</t>
  </si>
  <si>
    <t>softwareassets</t>
  </si>
  <si>
    <t>peopleassets</t>
  </si>
  <si>
    <t>premiseassets</t>
  </si>
  <si>
    <t>informationassets</t>
  </si>
  <si>
    <t>risks</t>
  </si>
  <si>
    <t>incidents</t>
  </si>
  <si>
    <t>audits</t>
  </si>
  <si>
    <t>managementreviews</t>
  </si>
  <si>
    <t>kpiobjectives</t>
  </si>
  <si>
    <t>cips</t>
  </si>
  <si>
    <t>customers</t>
  </si>
  <si>
    <t>suppliers</t>
  </si>
  <si>
    <t>documenttrees</t>
  </si>
  <si>
    <t>tasks</t>
  </si>
  <si>
    <t>calenderevents</t>
  </si>
  <si>
    <t>Context of the organisation</t>
  </si>
  <si>
    <t>Clause</t>
  </si>
  <si>
    <t>Understanding the organisation and its context</t>
  </si>
  <si>
    <t>&lt;p&gt;The organisation shall determine external and internal issues that are relevant to its purpose and that affect its ability to achieve the intended outcome(s) of its information security management system.&lt;/p&gt;</t>
  </si>
  <si>
    <t>&lt;p&gt;Determining these issues refers to establishing the external and internal context of the organisation considered in Clause 5.4.1 of ISO 31000:2018.&lt;/p&gt;</t>
  </si>
  <si>
    <t>Control</t>
  </si>
  <si>
    <t>Understanding the needs and expectations of interested parties</t>
  </si>
  <si>
    <t>&lt;p&gt;The requirements of interested parties can include legal and regulatory requirements and contractual obligations.&lt;/p&gt;</t>
  </si>
  <si>
    <t>4.2.a</t>
  </si>
  <si>
    <t>Interested parties that are relevant to the information security management system</t>
  </si>
  <si>
    <t>&lt;p&gt;The organisation shall determine interested parties that are relevant to the information security management system.&lt;/p&gt;</t>
  </si>
  <si>
    <t>Sub-control</t>
  </si>
  <si>
    <t>4.2.b</t>
  </si>
  <si>
    <t>The relevant requirements of these interested parties</t>
  </si>
  <si>
    <t>&lt;p&gt;The organisation shall determine the relevant requirements of these interested parties.&lt;/p&gt;</t>
  </si>
  <si>
    <t>4.2.c</t>
  </si>
  <si>
    <t>Which of these requirements will be addressed through the information security management system</t>
  </si>
  <si>
    <t>&lt;p&gt;The organisation shall determine which of these requirements will be addressed through the information security management system.&lt;/p&gt;</t>
  </si>
  <si>
    <t>Determining the scope of the information security management system</t>
  </si>
  <si>
    <t>&lt;p&gt;The organisation shall determine the boundaries and applicability of the information security management system to establish its scope.&lt;/p&gt;
&lt;p&gt;The scope shall be available as documented information.&lt;/p&gt;</t>
  </si>
  <si>
    <t>4.3.a</t>
  </si>
  <si>
    <t>The external and internal issues referred to in 4.1</t>
  </si>
  <si>
    <t>&lt;p&gt;When determining this scope, the organisation shall consider the external and internal issues referred to in 4.1.&lt;/p&gt;</t>
  </si>
  <si>
    <t>4.3.b</t>
  </si>
  <si>
    <t>The requirements referred to in 4.2</t>
  </si>
  <si>
    <t>&lt;p&gt;When determining this scope, the organisation shall consider the requirements referred to in 4.2.&lt;/p&gt;</t>
  </si>
  <si>
    <t>4.3.c</t>
  </si>
  <si>
    <t>Interfaces and dependencies between activities performed by the organisation, and those that are performed by other organisations</t>
  </si>
  <si>
    <t>&lt;p&gt;When determining this scope, the organisation shall consider interfaces and dependencies between activities performed by the organisation, and those that are performed by other organisations.&lt;/p&gt;</t>
  </si>
  <si>
    <t>Information security management system</t>
  </si>
  <si>
    <t>&lt;p&gt;The organisation shall establish, implement, maintain and continually improve an information security management system, including the processes needed and their interactions, in accordance with the requirements of this document.&lt;/p&gt;</t>
  </si>
  <si>
    <t>Continual Improvement</t>
  </si>
  <si>
    <t>Leadership</t>
  </si>
  <si>
    <t>Leadership and commitment</t>
  </si>
  <si>
    <t>&lt;p&gt;Reference to &amp;ldquo;business&amp;rdquo; in this document can be interpreted broadly to mean those activities that are core to the purposes of the organisation&amp;rsquo;s existence.&lt;/p&gt;</t>
  </si>
  <si>
    <t>5.1.a</t>
  </si>
  <si>
    <t>Ensuring the information security policy and the information security objectives are established and are compatible with the strategic direction of the organisation</t>
  </si>
  <si>
    <t>&lt;p&gt;Top management shall demonstrate leadership and commitment with respect to the information security management system by ensuring the information security policy and the information security objectives are established and are compatible with the strategic direction of the organisation.&lt;/p&gt;</t>
  </si>
  <si>
    <t>5.1.b</t>
  </si>
  <si>
    <t>Ensuring the integration of the information security management system requirements into the organisation’s processes</t>
  </si>
  <si>
    <t>&lt;p&gt;Top management shall demonstrate leadership and commitment with respect to the information security management system by ensuring the integration of the information security management system requirements into the organisation’s processes.&lt;/p&gt;</t>
  </si>
  <si>
    <t>5.1.c</t>
  </si>
  <si>
    <t>Ensuring that the resources needed for the information security management system are available</t>
  </si>
  <si>
    <t>&lt;p&gt;Top management shall demonstrate leadership and commitment with respect to the information security management system by ensuring that the resources needed for the information security management system are available.&lt;/p&gt;</t>
  </si>
  <si>
    <t>5.1.d</t>
  </si>
  <si>
    <t>Communicating the importance of effective information security management and of conforming to the information security management system requirements</t>
  </si>
  <si>
    <t>&lt;p&gt;Top management shall demonstrate leadership and commitment with respect to the information security management system by communicating the importance of effective information security management and of conforming to the information security management system requirements.&lt;/p&gt;</t>
  </si>
  <si>
    <t>5.1.e</t>
  </si>
  <si>
    <t>Ensuring that the information security management system achieves its intended outcome(s)</t>
  </si>
  <si>
    <t>&lt;p&gt;Top management shall demonstrate leadership and commitment with respect to the information security management system by ensuring that the information security management system achieves its intended outcome(s).&lt;/p&gt;</t>
  </si>
  <si>
    <t>5.1.f</t>
  </si>
  <si>
    <t>Directing and supporting persons to contribute to the effectiveness of the information security management system</t>
  </si>
  <si>
    <t>&lt;p&gt;Top management shall demonstrate leadership and commitment with respect to the information security management system by directing and supporting persons to contribute to the effectiveness of the information security management system.&lt;/p&gt;</t>
  </si>
  <si>
    <t>5.1.g</t>
  </si>
  <si>
    <t>Promoting continual improvement</t>
  </si>
  <si>
    <t>&lt;p&gt;Top management shall demonstrate leadership and commitment with respect to the information security management system by promoting continual improvement.&lt;/p&gt;</t>
  </si>
  <si>
    <t>5.1.h</t>
  </si>
  <si>
    <t>Supporting other relevant management roles to demonstrate their leadership as it applies to their areas of responsibility</t>
  </si>
  <si>
    <t>&lt;p&gt;Top management shall demonstrate leadership and commitment with respect to the information security management system by supporting other relevant management roles to demonstrate their leadership as it applies to their areas of responsibility.&lt;/p&gt;</t>
  </si>
  <si>
    <t>Policy</t>
  </si>
  <si>
    <t>5.2.a</t>
  </si>
  <si>
    <t>Is appropriate to the purpose of the organisation</t>
  </si>
  <si>
    <t>&lt;p&gt;Top management shall establish an information security policy that is appropriate to the purpose of the organisation.&lt;/p&gt;</t>
  </si>
  <si>
    <t>5.2.b</t>
  </si>
  <si>
    <t>Includes information security objectives (see 6.2) or provides the framework for setting information security objectives</t>
  </si>
  <si>
    <t>&lt;p&gt;Top management shall establish an information security policy that includes information security objectives (see 6.2) or provides the framework for setting information security objectives.&lt;/p&gt;</t>
  </si>
  <si>
    <t>5.2.c</t>
  </si>
  <si>
    <t>Includes a commitment to satisfy applicable requirements related to information security</t>
  </si>
  <si>
    <t>&lt;p&gt;Top management shall establish an information security policy that includes a commitment to satisfy applicable requirements related to information security.&lt;/p&gt;</t>
  </si>
  <si>
    <t>5.2.d</t>
  </si>
  <si>
    <t>Includes a commitment to continual improvement of the information security management system</t>
  </si>
  <si>
    <t>&lt;p&gt;Top management shall establish an information security policy that includes a commitment to continual improvement of the information security management system.&lt;/p&gt;</t>
  </si>
  <si>
    <t>5.2.e</t>
  </si>
  <si>
    <t>Be available as documented information</t>
  </si>
  <si>
    <t>&lt;p&gt;The information security policy shall be available as documented information.&lt;/p&gt;</t>
  </si>
  <si>
    <t>Document Management</t>
  </si>
  <si>
    <t>5.2.f</t>
  </si>
  <si>
    <t>Be communicated within the organisation</t>
  </si>
  <si>
    <t>&lt;p&gt;The information security policy shall be communicated within the organisation.&lt;/p&gt;</t>
  </si>
  <si>
    <t>5.2.g</t>
  </si>
  <si>
    <t>Be available to interested parties, as appropriate.</t>
  </si>
  <si>
    <t>&lt;p&gt;The information security policy shall be available to interested parties, as appropriate.&lt;/p&gt;</t>
  </si>
  <si>
    <t>Organisational roles, responsibilities and authorities</t>
  </si>
  <si>
    <t>&lt;p&gt;Top management shall ensure that the responsibilities and authorities for roles relevant to information security are assigned and communicated within the organisation.&lt;/p&gt;</t>
  </si>
  <si>
    <t>&lt;p&gt;Top management can also assign responsibilities and authorities for reporting performance of the information security management system within the organisation.&lt;/p&gt;</t>
  </si>
  <si>
    <t>5.3.a</t>
  </si>
  <si>
    <t>Ensuring that the information security management system conforms to the requirements of this document</t>
  </si>
  <si>
    <t>&lt;p&gt;Top management shall assign the responsibility and authority for ensuring that the information security management system conforms to the requirements of this document.&lt;/p&gt;</t>
  </si>
  <si>
    <t>5.3.b</t>
  </si>
  <si>
    <t>Reporting on the performance of the information security management system to top management</t>
  </si>
  <si>
    <t>&lt;p&gt;Top management shall assign the responsibility and authority for reporting on the performance of the information security management system to top management.&lt;/p&gt;</t>
  </si>
  <si>
    <t>Planning</t>
  </si>
  <si>
    <t>Actions to address risks and opportunities</t>
  </si>
  <si>
    <t>6.1.1</t>
  </si>
  <si>
    <t>General</t>
  </si>
  <si>
    <t>6.1.1.a</t>
  </si>
  <si>
    <t>Ensure the information security management system can achieve its intended outcome(s)</t>
  </si>
  <si>
    <t>&lt;p&gt;When planning for the information security management system, the organisation shall consider the issues referred to in 4.1 and the requirements referred to in 4.2 and determine the risks and opportunities that need to be addressed to ensure the information security management system can achieve its intended outcome(s).&lt;/p&gt;</t>
  </si>
  <si>
    <t>Risk Management and Continual Improvement</t>
  </si>
  <si>
    <t>risks, cips</t>
  </si>
  <si>
    <t>6.1.1.b</t>
  </si>
  <si>
    <t>Prevent, or reduce, undesired effects</t>
  </si>
  <si>
    <t>&lt;p&gt;When planning for the information security management system, the organisation shall consider the issues referred to in 4.1 and the requirements referred to in 4.2 and determine the risks and opportunities that need to be addressed to prevent, or reduce, undesired effects.&lt;/p&gt;</t>
  </si>
  <si>
    <t>6.1.1.c</t>
  </si>
  <si>
    <t>Achieve continual improvement</t>
  </si>
  <si>
    <t>&lt;p&gt;When planning for the information security management system, the organisation shall consider the issues referred to in 4.1 and the requirements referred to in 4.2 and determine the risks and opportunities that need to be addressed to achieve continual improvement.&lt;/p&gt;</t>
  </si>
  <si>
    <t>6.1.1.d</t>
  </si>
  <si>
    <t>Actions to address these risks and opportunities</t>
  </si>
  <si>
    <t>&lt;p&gt;The organisation shall plan actions to address these risks and opportunities.&lt;/p&gt;</t>
  </si>
  <si>
    <t>6.1.1.e</t>
  </si>
  <si>
    <t>How to:</t>
  </si>
  <si>
    <t>&lt;p&gt;The organisation shall plan how to:&lt;/p&gt;</t>
  </si>
  <si>
    <t>6.1.1.e.1</t>
  </si>
  <si>
    <t>Integrate and implement the actions into its information security management system processes</t>
  </si>
  <si>
    <t>&lt;p&gt;The organisation shall plan how to integrate and implement the actions into its information security management system processes.&lt;/p&gt;</t>
  </si>
  <si>
    <t>6.1.1.e.2</t>
  </si>
  <si>
    <t>Evaluate the effectiveness of these actions</t>
  </si>
  <si>
    <t>&lt;p&gt;The organisation shall plan how to evaluate the effectiveness of these actions.&lt;/p&gt;</t>
  </si>
  <si>
    <t>6.1.2</t>
  </si>
  <si>
    <t>Information security risk assessment</t>
  </si>
  <si>
    <t>&lt;p&gt;The organisation shall retain documented information about the information security risk assessment process.&lt;/p&gt;</t>
  </si>
  <si>
    <t>6.1.2.a</t>
  </si>
  <si>
    <t>Establishes and maintains information security risk criteria that include:</t>
  </si>
  <si>
    <t>&lt;p&gt;The organisation shall define and apply an information security risk assessment process that establishes and maintains information security risk criteria that include:&lt;/p&gt;</t>
  </si>
  <si>
    <t>6.1.2.a.1</t>
  </si>
  <si>
    <t>The risk acceptance criteria</t>
  </si>
  <si>
    <t>&lt;p&gt;The organisation shall define and apply an information security risk assessment process that establishes and maintains information security risk criteria that include the risk acceptance criteria.&lt;/p&gt;</t>
  </si>
  <si>
    <t>Risk Management</t>
  </si>
  <si>
    <t>6.1.2.a.2</t>
  </si>
  <si>
    <t>Criteria for performing information security risk assessments</t>
  </si>
  <si>
    <t>&lt;p&gt;The organisation shall define and apply an information security risk assessment process that establishes and maintains information security risk criteria that include criteria for performing information security risk assessments.&lt;/p&gt;</t>
  </si>
  <si>
    <t>6.1.2.b</t>
  </si>
  <si>
    <t>Ensures that repeated information security risk assessments produce consistent, valid and comparable results</t>
  </si>
  <si>
    <t>&lt;p&gt;The organisation shall define and apply an information security risk assessment process that ensures that repeated information security risk assessments produce consistent, valid and comparable results.&lt;/p&gt;</t>
  </si>
  <si>
    <t>6.1.2.c</t>
  </si>
  <si>
    <t>Identifies the information security risks</t>
  </si>
  <si>
    <t>&lt;p&gt;The organisation shall define and apply an information security risk assessment process that identifies the information security risks.&lt;/p&gt;</t>
  </si>
  <si>
    <t>6.1.2.c.1</t>
  </si>
  <si>
    <t>Apply the information security risk assessment process to identify risks associated with the loss of confidentiality, integrity and availability for information within the scope of the information security management system</t>
  </si>
  <si>
    <t>&lt;p&gt;The organisation shall define and apply an information security risk assessment process that identifies the information security risks and apply the information security risk assessment process to identify risks associated with the loss of confidentiality, integrity and availability for information within the scope of the information security management system.&lt;/p&gt;</t>
  </si>
  <si>
    <t>6.1.2.c.2</t>
  </si>
  <si>
    <t>Identify the risk owners</t>
  </si>
  <si>
    <t>&lt;p&gt;The organisation shall define and apply an information security risk assessment process that identifies the information security risks and identify the risk owners.&lt;/p&gt;</t>
  </si>
  <si>
    <t>6.1.2.d</t>
  </si>
  <si>
    <t>Analyses the information security risks</t>
  </si>
  <si>
    <t>&lt;p&gt;The organisation shall define and apply an information security risk assessment process that analyses the information security risks.&lt;/p&gt;</t>
  </si>
  <si>
    <t>6.1.2.d.1</t>
  </si>
  <si>
    <t>Assess the potential consequences that would result if the risks identified in 6.1.2 c) 1) were to materialize</t>
  </si>
  <si>
    <t>&lt;p&gt;The organisation shall define and apply an information security risk assessment process that analyses the information security risks and assess the potential consequences that would result if the risks identified in 6.1.2 c) 1) were to materialize.&lt;/p&gt;</t>
  </si>
  <si>
    <t>6.1.2.d.2</t>
  </si>
  <si>
    <t>Assess the realistic likelihood of the occurrence of the risks identified in 6.1.2 c) 1)</t>
  </si>
  <si>
    <t>&lt;p&gt;The organisation shall define and apply an information security risk assessment process that analyses the information security risks and assess the realistic likelihood of the occurrence of the risks identified in 6.1.2 c) 1).&lt;/p&gt;</t>
  </si>
  <si>
    <t>6.1.2.d.3</t>
  </si>
  <si>
    <t>Determine the levels of risk</t>
  </si>
  <si>
    <t>&lt;p&gt;The organisation shall define and apply an information security risk assessment process that analyses the information security risks and determine the levels of risk.&lt;/p&gt;</t>
  </si>
  <si>
    <t>6.1.2.e</t>
  </si>
  <si>
    <t>Evaluates the information security risks</t>
  </si>
  <si>
    <t>&lt;p&gt;The organisation shall define and apply an information security risk assessment process that evaluates the information security risks.&lt;/p&gt;</t>
  </si>
  <si>
    <t>6.1.2.e.1</t>
  </si>
  <si>
    <t>Compare the results of risk analysis with the risk criteria established in 6.1.2 a)</t>
  </si>
  <si>
    <t>&lt;p&gt;The organisation shall define and apply an information security risk assessment process that evaluates the information security risks and compare the results of risk analysis with the risk criteria established in 6.1.2 a).&lt;/p&gt;</t>
  </si>
  <si>
    <t>6.1.2.e.2</t>
  </si>
  <si>
    <t>Prioritise the analysed risks for risk treatment</t>
  </si>
  <si>
    <t>&lt;p&gt;The organisation shall define and apply an information security risk assessment process that evaluates the information security risks and prioritise the analysed risks for risk treatment.&lt;/p&gt;</t>
  </si>
  <si>
    <t>6.1.3</t>
  </si>
  <si>
    <t>Information security risk treatment</t>
  </si>
  <si>
    <t>&lt;p&gt;The organisation shall retain documented information about the information security risk treatment process.&lt;/p&gt;</t>
  </si>
  <si>
    <t>&lt;p&gt;The information security risk assessment and treatment process in this document aligns with the principles and generic guidelines provided in ISO 31000.&lt;/p&gt;</t>
  </si>
  <si>
    <t>6.1.3.a</t>
  </si>
  <si>
    <t>Select appropriate information security risk treatment options, taking account of the risk assessment results</t>
  </si>
  <si>
    <t>&lt;p&gt;The organisation shall define and apply an information security risk treatment process to select appropriate information security risk treatment options, taking account of the risk assessment results.&lt;/p&gt;</t>
  </si>
  <si>
    <t>6.1.3.b</t>
  </si>
  <si>
    <t>Determine all controls that are necessary to implement the information security risk treatment option(s) chosen</t>
  </si>
  <si>
    <t>&lt;p&gt;The organisation shall define and apply an information security risk treatment process to determine all controls that are necessary to implement the information security risk treatment option(s) chosen.&lt;/p&gt;</t>
  </si>
  <si>
    <t>&lt;p&gt;Organisations can design controls as required, or identify them from any source.&lt;/p&gt;</t>
  </si>
  <si>
    <t>6.1.3.c</t>
  </si>
  <si>
    <t>Compare the controls determined in 6.1.3 b) above with those in Annex A and verify that no necessary controls have been omitted</t>
  </si>
  <si>
    <t>&lt;p&gt;The organisation shall define and apply an information security risk treatment process to compare the controls determined in 6.1.3 b) above with those in Annex A and verify that no necessary controls have been omitted.&lt;/p&gt;</t>
  </si>
  <si>
    <t>&lt;p&gt;Annex A contains a list of possible information security controls. Users of this document are directed to Annex A to ensure that no necessary information security controls are overlooked.&lt;/p&gt;
&lt;p&gt;The information security controls listed in Annex A are not exhaustive and additional information security controls can be included if needed.&lt;/p&gt;</t>
  </si>
  <si>
    <t>6.1.3.d</t>
  </si>
  <si>
    <t>Produce a Statement of Applicability that contains:</t>
  </si>
  <si>
    <t>&lt;p&gt;The organisation shall define and apply an information security risk treatment process to produce a Statement of Applicability that contains:&lt;/p&gt;
&lt;ul&gt;
 &lt;li&gt;the necessary controls (see 6.1.3 b) and c));&lt;/li&gt;
 &lt;li&gt;justification for their inclusion;&lt;/li&gt;
 &lt;li&gt;whether the necessary controls are implemented or not; and&lt;/li&gt;
 &lt;li&gt;the justification for excluding any of the Annex A controls.&lt;/li&gt;
&lt;/ul&gt;</t>
  </si>
  <si>
    <t>6.1.3.e</t>
  </si>
  <si>
    <t>Formulate an information security risk treatment plan</t>
  </si>
  <si>
    <t>&lt;p&gt;The organisation shall define and apply an information security risk treatment process to formulate an information security risk treatment plan.&lt;/p&gt;</t>
  </si>
  <si>
    <t>6.1.3.f</t>
  </si>
  <si>
    <t>Obtain risk owners’ approval of the information security risk treatment plan and acceptance of the residual information security risks</t>
  </si>
  <si>
    <t>&lt;p&gt;The organisation shall define and apply an information security risk treatment process to obtain risk owners’ approval of the information security risk treatment plan and acceptance of the residual information security risks.&lt;/p&gt;</t>
  </si>
  <si>
    <t>Information security objectives and planning to achieve them</t>
  </si>
  <si>
    <t>&lt;p&gt;The organisation shall establish information security objectives at relevant functions and levels.&lt;/p&gt;
&lt;p&gt;The organisation shall retain documented information on the information security objectives.&lt;/p&gt;</t>
  </si>
  <si>
    <t>6.2.a</t>
  </si>
  <si>
    <t>Be consistent with the information security policy</t>
  </si>
  <si>
    <t>&lt;p&gt;The information security objectives shall be consistent with the information security policy.&lt;/p&gt;</t>
  </si>
  <si>
    <t>6.2.b</t>
  </si>
  <si>
    <t>Be measurable (if practicable)</t>
  </si>
  <si>
    <t>&lt;p&gt;The information security objectives shall be measurable (if practicable).&lt;/p&gt;</t>
  </si>
  <si>
    <t>6.2.c</t>
  </si>
  <si>
    <t>Take into account applicable information security requirements, and results from risk assessment and risk treatment</t>
  </si>
  <si>
    <t>&lt;p&gt;The information security objectives shall take into account applicable information security requirements, and results from risk assessment and risk treatment.&lt;/p&gt;</t>
  </si>
  <si>
    <t>6.2.d</t>
  </si>
  <si>
    <t>Be monitored</t>
  </si>
  <si>
    <t>&lt;p&gt;The information security objectives shall be monitored.&lt;/p&gt;</t>
  </si>
  <si>
    <t>6.2.e</t>
  </si>
  <si>
    <t>Be communicated</t>
  </si>
  <si>
    <t>&lt;p&gt;The information security objectives shall be communicated.&lt;/p&gt;</t>
  </si>
  <si>
    <t>6.2.f</t>
  </si>
  <si>
    <t>Be updated as appropriate</t>
  </si>
  <si>
    <t>&lt;p&gt;The information security objectives shall be updated as appropriate.&lt;/p&gt;</t>
  </si>
  <si>
    <t>6.2.g</t>
  </si>
  <si>
    <t>&lt;p&gt;The information security objectives shall be available as documented information.&lt;/p&gt;</t>
  </si>
  <si>
    <t>6.2.h</t>
  </si>
  <si>
    <t>What will be done</t>
  </si>
  <si>
    <t>&lt;p&gt;When planning how to achieve its information security objectives, the organisation shall determine what will be done.&lt;/p&gt;</t>
  </si>
  <si>
    <t>6.2.i</t>
  </si>
  <si>
    <t>What resources will be required</t>
  </si>
  <si>
    <t>&lt;p&gt;When planning how to achieve its information security objectives, the organisation shall determine what resources will be required.&lt;/p&gt;</t>
  </si>
  <si>
    <t>6.2.j</t>
  </si>
  <si>
    <t>Who will be responsible</t>
  </si>
  <si>
    <t>&lt;p&gt;When planning how to achieve its information security objectives, the organisation shall determine who will be responsible.&lt;/p&gt;</t>
  </si>
  <si>
    <t>6.2.k</t>
  </si>
  <si>
    <t>When it will be completed</t>
  </si>
  <si>
    <t>&lt;p&gt;When planning how to achieve its information security objectives, the organisation shall determine when it will be completed.&lt;/p&gt;</t>
  </si>
  <si>
    <t>6.2.l</t>
  </si>
  <si>
    <t>How the results will be evaluated</t>
  </si>
  <si>
    <t>&lt;p&gt;When planning how to achieve its information security objectives, the organisation shall determine how the results will be evaluated.&lt;/p&gt;</t>
  </si>
  <si>
    <t>Planning of changes</t>
  </si>
  <si>
    <t>&lt;p&gt;When the organisation determines the need for changes to the information security management system, the changes shall be carried out in a planned manner.&lt;/p&gt;</t>
  </si>
  <si>
    <t>Support</t>
  </si>
  <si>
    <t>Resources</t>
  </si>
  <si>
    <t>&lt;p&gt;The organisation shall determine and provide the resources needed for the establishment, implementation, maintenance and continual improvement of the information security management system.&lt;/p&gt;</t>
  </si>
  <si>
    <t>Competence</t>
  </si>
  <si>
    <t>&lt;p&gt;Applicable actions can include, for example: the provision of training to, the mentoring of, or the re-assignment of current employees; or the hiring or contracting of competent persons.&lt;/p&gt;</t>
  </si>
  <si>
    <t>7.2.a</t>
  </si>
  <si>
    <t>Determine the necessary competence of person(s) doing work under its control that affects its information security performance</t>
  </si>
  <si>
    <t>&lt;p&gt;The organisation shall determine the necessary competence of person(s) doing work under its control that affects its information security performance.&lt;/p&gt;</t>
  </si>
  <si>
    <t>7.2.b</t>
  </si>
  <si>
    <t>Ensure that these persons are competent on the basis of appropriate education, training, or experience</t>
  </si>
  <si>
    <t>&lt;p&gt;The organisation shall ensure that these persons are competent on the basis of appropriate education, training, or experience.&lt;/p&gt;</t>
  </si>
  <si>
    <t>7.2.c</t>
  </si>
  <si>
    <t>Where applicable, take actions to acquire the necessary competence, and evaluate the effectiveness of the actions taken</t>
  </si>
  <si>
    <t>&lt;p&gt;The organisation shall where applicable, take actions to acquire the necessary competence, and evaluate the effectiveness of the actions taken.&lt;/p&gt;</t>
  </si>
  <si>
    <t>7.2.d</t>
  </si>
  <si>
    <t>Retain appropriate documented information as evidence of competence</t>
  </si>
  <si>
    <t>&lt;p&gt;The organisation shall retain appropriate documented information as evidence of competence.&lt;/p&gt;</t>
  </si>
  <si>
    <t>Awareness</t>
  </si>
  <si>
    <t>7.3.a</t>
  </si>
  <si>
    <t>The information security policy</t>
  </si>
  <si>
    <t>&lt;p&gt;Persons doing work under the organisation&amp;rsquo;s control shall be aware of the information security policy.&lt;/p&gt;</t>
  </si>
  <si>
    <t>7.3.b</t>
  </si>
  <si>
    <t>Their contribution to the effectiveness of the information security management system, including the benefits of improved information security performance</t>
  </si>
  <si>
    <t>&lt;p&gt;Persons doing work under the organisation&amp;rsquo;s control shall be aware of their contribution to the effectiveness of the information security management system, including the benefits of improved information security performance.&lt;/p&gt;</t>
  </si>
  <si>
    <t>7.3.c</t>
  </si>
  <si>
    <t>The implications of not conforming with the information security management system requirements</t>
  </si>
  <si>
    <t>&lt;p&gt;Persons doing work under the organisation&amp;rsquo;s control shall be aware of the implications of not conforming with the information security management system requirements.&lt;/p&gt;</t>
  </si>
  <si>
    <t>Communication</t>
  </si>
  <si>
    <t>7.4.a</t>
  </si>
  <si>
    <t>On what to communicate</t>
  </si>
  <si>
    <t>&lt;p&gt;The organisation shall determine the need for internal and external communications relevant to the information security management system including on what to communicate.&lt;/p&gt;</t>
  </si>
  <si>
    <t>7.4.b</t>
  </si>
  <si>
    <t>When to communicate</t>
  </si>
  <si>
    <t>&lt;p&gt;The organisation shall determine the need for internal and external communications relevant to the information security management system including when to communicate.&lt;/p&gt;</t>
  </si>
  <si>
    <t>7.4.c</t>
  </si>
  <si>
    <t>With whom to communicate</t>
  </si>
  <si>
    <t>&lt;p&gt;The organisation shall determine the need for internal and external communications relevant to the information security management system including with whom to communicate.&lt;/p&gt;</t>
  </si>
  <si>
    <t>7.4.d</t>
  </si>
  <si>
    <t>How to communicate</t>
  </si>
  <si>
    <t>&lt;p&gt;The organisation shall determine the need for internal and external communications relevant to the information security management system including how to communicate.&lt;/p&gt;</t>
  </si>
  <si>
    <t>Documented information</t>
  </si>
  <si>
    <t>7.5.1</t>
  </si>
  <si>
    <t>&lt;p&gt;The extent of documented information for an information security management system can differ from one organisation to another due to:&lt;/p&gt;
&lt;ol&gt;
 &lt;li&gt;the size of organisation and its type of activities, processes, products and services;&lt;/li&gt;
 &lt;li&gt;the complexity of processes and their interactions; and&lt;/li&gt;
 &lt;li&gt;the competence of persons.&lt;/li&gt;
&lt;/ol&gt;</t>
  </si>
  <si>
    <t>7.5.1.a</t>
  </si>
  <si>
    <t>Documented information required by this document</t>
  </si>
  <si>
    <t>&lt;p&gt;The organisation&amp;rsquo;s information security management system shall include documented information required by this document.&lt;/p&gt;</t>
  </si>
  <si>
    <t>7.5.1.b</t>
  </si>
  <si>
    <t>Documented information determined by the organisation as being necessary for the effectiveness of the information security management system</t>
  </si>
  <si>
    <t>&lt;p&gt;The organisation&amp;rsquo;s information security management system shall include documented information determined by the organisation as being necessary for the effectiveness of the information security management system.&lt;/p&gt;</t>
  </si>
  <si>
    <t>7.5.2</t>
  </si>
  <si>
    <t>Creating and updating</t>
  </si>
  <si>
    <t>7.5.2.a</t>
  </si>
  <si>
    <t>Identification and description (e.g. a title, date, author, or reference number)</t>
  </si>
  <si>
    <t>&lt;p&gt;When creating and updating documented information the organisation shall ensure appropriate identification and description (e.g. a title, date, author, or reference number).&lt;/p&gt;</t>
  </si>
  <si>
    <t>7.5.2.b</t>
  </si>
  <si>
    <t>Format (e.g. language, software version, graphics) and media (e.g. paper, electronic)</t>
  </si>
  <si>
    <t>&lt;p&gt;When creating and updating documented information the organisation shall ensure appropriate format (e.g. language, software version, graphics) and media (e.g. paper, electronic).&lt;/p&gt;</t>
  </si>
  <si>
    <t>7.5.2.c</t>
  </si>
  <si>
    <t>Review and approval for suitability and adequacy</t>
  </si>
  <si>
    <t>&lt;p&gt;When creating and updating documented information the organisation shall ensure appropriate review and approval for suitability and adequacy.&lt;/p&gt;</t>
  </si>
  <si>
    <t>7.5.3</t>
  </si>
  <si>
    <t>Control of documented information</t>
  </si>
  <si>
    <t>&lt;p&gt;Documented information of external origin, determined by the organisation to be necessary for the planning and operation of the information security management system, shall be identified as appropriate, and controlled.&lt;/p&gt;</t>
  </si>
  <si>
    <t>&lt;p&gt;Access can imply a decision regarding the permission to view the documented information only, or the permission and authority to view and change the documented information, etc.&lt;/p&gt;</t>
  </si>
  <si>
    <t>7.5.3.a</t>
  </si>
  <si>
    <t>It is available and suitable for use, where and when it is needed</t>
  </si>
  <si>
    <t>&lt;p&gt;Documented information required by the information security management system and by this document shall be controlled to ensure it is available and suitable for use, where and when it is needed.&lt;/p&gt;</t>
  </si>
  <si>
    <t>7.5.3.b</t>
  </si>
  <si>
    <t>It is adequately protected (e.g. from loss of confidentiality, improper use, or loss of integrity)</t>
  </si>
  <si>
    <t>&lt;p&gt;Documented information required by the information security management system and by this document shall be controlled to ensure it is adequately protected (e.g. from loss of confidentiality, improper use, or loss of integrity).&lt;/p&gt;</t>
  </si>
  <si>
    <t>7.5.3.c</t>
  </si>
  <si>
    <t>Distribution, access, retrieval and use</t>
  </si>
  <si>
    <t>&lt;p&gt;For the control of documented information, the organisation shall address the following activities, as applicable distribution, access, retrieval and use.&lt;/p&gt;</t>
  </si>
  <si>
    <t>7.5.3.d</t>
  </si>
  <si>
    <t>Storage and preservation, including the preservation of legibility</t>
  </si>
  <si>
    <t>&lt;p&gt;For the control of documented information, the organisation shall address the following activities, as applicable storage and preservation, including the preservation of legibility.&lt;/p&gt;</t>
  </si>
  <si>
    <t>7.5.3.e</t>
  </si>
  <si>
    <t>Control of changes (e.g. version control)</t>
  </si>
  <si>
    <t>&lt;p&gt;For the control of documented information, the organisation shall address the following activities, as applicable control of changes (e.g. version control).&lt;/p&gt;</t>
  </si>
  <si>
    <t>7.5.3.f</t>
  </si>
  <si>
    <t>Retention and disposition</t>
  </si>
  <si>
    <t>&lt;p&gt;For the control of documented information, the organisation shall address the following activities, as applicable retention and disposition.&lt;/p&gt;</t>
  </si>
  <si>
    <t>Operation</t>
  </si>
  <si>
    <t>Operational planning and control</t>
  </si>
  <si>
    <t>&lt;p&gt;The organisation shall plan, implement and control the processes needed to meet requirements, and to implement the actions determined in Clause 6, by:&lt;/p&gt;
&lt;ul&gt;
 &lt;li&gt;establishing criteria for the processes;&lt;/li&gt;
 &lt;li&gt;implementing control of the processes in accordance with the criteria.&lt;/li&gt;
&lt;/ul&gt;
&lt;p&gt;Documented information shall be available to the extent necessary to have confidence that the processes have been carried out as planned.&lt;/p&gt;
&lt;p&gt;The organisation shall control planned changes and review the consequences of unintended changes, taking action to mitigate any adverse effects, as necessary.&lt;/p&gt;
&lt;p&gt;The organisation shall ensure that externally provided processes, products or services that are relevant to the information security management system are controlled.&lt;/p&gt;</t>
  </si>
  <si>
    <t>&lt;p&gt;The organisation shall perform information security risk assessments at planned intervals or when significant changes are proposed or occur, taking account of the criteria established in 6.1.2 a).&lt;/p&gt;
&lt;p&gt;The organisation shall retain documented information of the results of the information security risk assessments.&lt;/p&gt;</t>
  </si>
  <si>
    <t>Risk Management and Document Management</t>
  </si>
  <si>
    <t>risks, documenttrees</t>
  </si>
  <si>
    <t>&lt;p&gt;The organisation shall implement the information security risk treatment plan.&lt;/p&gt;
&lt;p&gt;The organisation shall retain documented information of the results of the information security risk treatment.&lt;/p&gt;</t>
  </si>
  <si>
    <t>Performance evaluation</t>
  </si>
  <si>
    <t>Monitoring, measurement, analysis and evaluation</t>
  </si>
  <si>
    <t>&lt;p&gt;Documented information shall be available as evidence of the results.&lt;/p&gt;
&lt;p&gt;The organisation shall evaluate the information security performance and the effectiveness of the information security management system.&lt;/p&gt;</t>
  </si>
  <si>
    <t>9.1.a</t>
  </si>
  <si>
    <t>What needs to be monitored and measured, including information security processes and controls</t>
  </si>
  <si>
    <t>&lt;p&gt;The organisation shall determine what needs to be monitored and measured, including information security processes and controls.&lt;/p&gt;</t>
  </si>
  <si>
    <t>9.1.b</t>
  </si>
  <si>
    <t>The methods for monitoring, measurement, analysis and evaluation, as applicable, to ensure valid results. The methods selected should produce comparable and reproducible results to be considered valid</t>
  </si>
  <si>
    <t>&lt;p&gt;The organisation shall determine the methods for monitoring, measurement, analysis and evaluation, as applicable, to ensure valid results. The methods selected should produce comparable and reproducible results to be considered valid.&lt;/p&gt;</t>
  </si>
  <si>
    <t>9.1.c</t>
  </si>
  <si>
    <t>When the monitoring and measuring shall be performed</t>
  </si>
  <si>
    <t>&lt;p&gt;The organisation shall determine when the monitoring and measuring shall be performed.&lt;/p&gt;</t>
  </si>
  <si>
    <t>9.1.d</t>
  </si>
  <si>
    <t>Who shall monitor and measure</t>
  </si>
  <si>
    <t>&lt;p&gt;The organisation shall determine who shall monitor and measure.&lt;/p&gt;</t>
  </si>
  <si>
    <t>9.1.e</t>
  </si>
  <si>
    <t>When the results from monitoring and measurement shall be analysed and evaluated</t>
  </si>
  <si>
    <t>&lt;p&gt;The organisation shall determine when the results from monitoring and measurement shall be analysed and evaluated.&lt;/p&gt;</t>
  </si>
  <si>
    <t>9.1.f</t>
  </si>
  <si>
    <t>Who shall analyse and evaluate these results</t>
  </si>
  <si>
    <t>&lt;p&gt;The organisation shall determine who shall analyse and evaluate these results.&lt;/p&gt;</t>
  </si>
  <si>
    <t>Internal audit</t>
  </si>
  <si>
    <t>9.2.1</t>
  </si>
  <si>
    <t>9.2.1.a</t>
  </si>
  <si>
    <t>Conforms to:</t>
  </si>
  <si>
    <t>&lt;p&gt;The organisation shall conduct internal audits at planned intervals to provide information on whether the information security management system conforms to:&lt;/p&gt;</t>
  </si>
  <si>
    <t>9.2.1.a.1</t>
  </si>
  <si>
    <t>The organisation’s own requirements for its information security management system</t>
  </si>
  <si>
    <t>&lt;p&gt;The organisation shall conduct internal audits at planned intervals to provide information on whether the information security management system conforms to the organisation’s own requirements for its information security management system.&lt;/p&gt;</t>
  </si>
  <si>
    <t>Audits</t>
  </si>
  <si>
    <t>9.2.1.a.2</t>
  </si>
  <si>
    <t>The requirements of this document</t>
  </si>
  <si>
    <t>&lt;p&gt;The organisation shall conduct internal audits at planned intervals to provide information on whether the information security management system conforms to the requirements of this document.&lt;/p&gt;</t>
  </si>
  <si>
    <t>9.2.1.b</t>
  </si>
  <si>
    <t>Is effectively implemented and maintained</t>
  </si>
  <si>
    <t>&lt;p&gt;The organisation shall conduct internal audits at planned intervals to provide information on whether the information security management system is effectively implemented and maintained.&lt;/p&gt;</t>
  </si>
  <si>
    <t>9.2.2</t>
  </si>
  <si>
    <t>Internal audit programme</t>
  </si>
  <si>
    <t>&lt;p&gt;The organisation shall plan, establish, implement and maintain an audit programme(s), including the frequency, methods, responsibilities, planning requirements and reporting.&lt;/p&gt;
&lt;p&gt;When establishing the internal audit programme(s), the organisation shall consider the importance of the processes concerned and the results of previous audits.&lt;/p&gt;
&lt;p&gt;Documented information shall be available as evidence of the implementation of the audit programme(s) and the audit results.&lt;/p&gt;</t>
  </si>
  <si>
    <t>9.2.2.a</t>
  </si>
  <si>
    <t>Define the audit criteria and scope for each audit</t>
  </si>
  <si>
    <t>&lt;p&gt;The organisation shall define the audit criteria and scope for each audit.&lt;/p&gt;</t>
  </si>
  <si>
    <t>9.2.2.b</t>
  </si>
  <si>
    <t>Select auditors and conduct audits that ensure objectivity and the impartiality of the audit process</t>
  </si>
  <si>
    <t>&lt;p&gt;The organisation shall select auditors and conduct audits that ensure objectivity and the impartiality of the audit process.&lt;/p&gt;</t>
  </si>
  <si>
    <t>9.2.2.c</t>
  </si>
  <si>
    <t>Ensure that the results of the audits are reported to relevant management</t>
  </si>
  <si>
    <t>&lt;p&gt;The organisation shall ensure that the results of the audits are reported to relevant management.&lt;/p&gt;</t>
  </si>
  <si>
    <t>Management review</t>
  </si>
  <si>
    <t>9.3.1</t>
  </si>
  <si>
    <t>&lt;p&gt;Top management shall review the organisation&amp;#39;s information security management system at planned intervals to ensure its continuing suitability, adequacy and effectiveness.&lt;/p&gt;</t>
  </si>
  <si>
    <t>Management Reviews and KPI/Objectives</t>
  </si>
  <si>
    <t>managementreviews, kpiobjectives</t>
  </si>
  <si>
    <t>9.3.2</t>
  </si>
  <si>
    <t>Management review inputs</t>
  </si>
  <si>
    <t>9.3.2.a</t>
  </si>
  <si>
    <t>The status of actions from previous management reviews</t>
  </si>
  <si>
    <t>&lt;p&gt;The management review shall include consideration of the status of actions from previous management reviews.&lt;/p&gt;</t>
  </si>
  <si>
    <t>9.3.2.b</t>
  </si>
  <si>
    <t>Changes in external and internal issues that are relevant to the information security management system</t>
  </si>
  <si>
    <t>&lt;p&gt;The management review shall include consideration of changes in external and internal issues that are relevant to the information security management system.&lt;/p&gt;</t>
  </si>
  <si>
    <t>9.3.2.c</t>
  </si>
  <si>
    <t>Changes in needs and expectations of interested parties that are relevant to the information security management system</t>
  </si>
  <si>
    <t>&lt;p&gt;The management review shall include consideration of changes in needs and expectations of interested parties that are relevant to the information security management system.&lt;/p&gt;</t>
  </si>
  <si>
    <t>9.3.2.d</t>
  </si>
  <si>
    <t>Feedback on the information security performance, including trends in:</t>
  </si>
  <si>
    <t>&lt;p&gt;The management review shall include consideration of feedback on the information security performance, including trends in:&lt;/p&gt;</t>
  </si>
  <si>
    <t>9.3.2.d.1</t>
  </si>
  <si>
    <t>Nonconformities and corrective actions</t>
  </si>
  <si>
    <t>&lt;p&gt;The management review shall include consideration of feedback on the information security performance, including trends in nonconformities and corrective actions.&lt;/p&gt;</t>
  </si>
  <si>
    <t>Incident Management, Management Reviews and KPI/Objectives</t>
  </si>
  <si>
    <t>incidents, managementreviews, kpiobjectives</t>
  </si>
  <si>
    <t>9.3.2.d.2</t>
  </si>
  <si>
    <t>Monitoring and measurement results</t>
  </si>
  <si>
    <t>&lt;p&gt;The management review shall include consideration of feedback on the information security performance, including trends in monitoring and measurement results.&lt;/p&gt;</t>
  </si>
  <si>
    <t>9.3.2.d.3</t>
  </si>
  <si>
    <t>Audit results</t>
  </si>
  <si>
    <t>&lt;p&gt;The management review shall include consideration of feedback on the information security performance, including trends in audit results.&lt;/p&gt;</t>
  </si>
  <si>
    <t>Audits, Management Reviews and KPI/Objectives</t>
  </si>
  <si>
    <t>audits, managementreviews, kpiobjectives</t>
  </si>
  <si>
    <t>9.3.2.d.4</t>
  </si>
  <si>
    <t>Fulfilment of information security objectives</t>
  </si>
  <si>
    <t>&lt;p&gt;The management review shall include consideration of feedback on the information security performance, including trends in fulfilment of information security objectives.&lt;/p&gt;</t>
  </si>
  <si>
    <t>9.3.2.e</t>
  </si>
  <si>
    <t>Feedback from interested parties</t>
  </si>
  <si>
    <t>&lt;p&gt;The management review shall include consideration of feedback from interested parties.&lt;/p&gt;</t>
  </si>
  <si>
    <t>9.3.2.f</t>
  </si>
  <si>
    <t>Results of risk assessment and status of risk treatment plan</t>
  </si>
  <si>
    <t>&lt;p&gt;The management review shall include consideration of results of risk assessment and status of risk treatment plan.&lt;/p&gt;</t>
  </si>
  <si>
    <t>Risk Management, Management Reviews and KPI/Objectives</t>
  </si>
  <si>
    <t>risks, managementreviews, kpiobjectives</t>
  </si>
  <si>
    <t>9.3.2.g</t>
  </si>
  <si>
    <t>Opportunities for continual improvement</t>
  </si>
  <si>
    <t>&lt;p&gt;The management review shall include consideration of opportunities for continual improvement.&lt;/p&gt;</t>
  </si>
  <si>
    <t>Management Reviews, KPI/Objectives and Continual Improvement</t>
  </si>
  <si>
    <t>managementreviews, kpiobjectives, cips</t>
  </si>
  <si>
    <t>9.3.3</t>
  </si>
  <si>
    <t>Management review results</t>
  </si>
  <si>
    <t>&lt;p&gt;The results of the management review shall include decisions related to continual improvement opportunities and any needs for changes to the information security management system.&lt;/p&gt;
&lt;p&gt;Documented information shall be available as evidence of the results of management reviews.&lt;/p&gt;</t>
  </si>
  <si>
    <t>Management Reviews, KPI/Objectives, Continual Improvement and Document Management</t>
  </si>
  <si>
    <t>managementreviews, kpiobjectives, cips, documenttrees</t>
  </si>
  <si>
    <t>Improvement</t>
  </si>
  <si>
    <t>Continual improvement</t>
  </si>
  <si>
    <t>&lt;p&gt;The organisation shall continually improve the suitability, adequacy and effectiveness of the information security management system.&lt;/p&gt;</t>
  </si>
  <si>
    <t>Nonconformity and corrective action</t>
  </si>
  <si>
    <t>&lt;p&gt;Corrective actions shall be appropriate to the effects of the nonconformities encountered.&lt;/p&gt;</t>
  </si>
  <si>
    <t>10.2.a</t>
  </si>
  <si>
    <t>React to the nonconformity, and as applicable:</t>
  </si>
  <si>
    <t>&lt;p&gt;When a nonconformity occurs, the organisation shall react to the nonconformity, and as applicable:&lt;/p&gt;</t>
  </si>
  <si>
    <t>10.2.a.1</t>
  </si>
  <si>
    <t>Take action to control and correct it</t>
  </si>
  <si>
    <t>&lt;p&gt;When a nonconformity occurs, the organisation shall react to the nonconformity, and as applicable take action to control and correct it.&lt;/p&gt;</t>
  </si>
  <si>
    <t>10.2.a.2</t>
  </si>
  <si>
    <t>Deal with the consequences</t>
  </si>
  <si>
    <t>&lt;p&gt;When a nonconformity occurs, the organisation shall react to the nonconformity, and as applicable deal with the consequences.&lt;/p&gt;</t>
  </si>
  <si>
    <t>10.2.b</t>
  </si>
  <si>
    <t>Evaluate the need for action to eliminate the causes of nonconformity, in order that it does not recur or occur elsewhere, by:</t>
  </si>
  <si>
    <t>&lt;p&gt;When a nonconformity occurs, the organisation shall evaluate the need for action to eliminate the causes of nonconformity, in order that it does not recur or occur elsewhere, by:&lt;/p&gt;</t>
  </si>
  <si>
    <t>10.2.b.1</t>
  </si>
  <si>
    <t>Reviewing the nonconformity</t>
  </si>
  <si>
    <t>&lt;p&gt;When a nonconformity occurs, the organisation shall evaluate the need for action to eliminate the causes of nonconformity, in order that it does not recur or occur elsewhere, by reviewing the nonconformity.&lt;/p&gt;</t>
  </si>
  <si>
    <t>10.2.b.2</t>
  </si>
  <si>
    <t>Determining the causes of the nonconformity</t>
  </si>
  <si>
    <t>&lt;p&gt;When a nonconformity occurs, the organisation shall evaluate the need for action to eliminate the causes of nonconformity, in order that it does not recur or occur elsewhere, by determining the causes of the nonconformity.&lt;/p&gt;</t>
  </si>
  <si>
    <t>10.2.b.3</t>
  </si>
  <si>
    <t>Determining if similar nonconformities exist, or could potentially occur</t>
  </si>
  <si>
    <t>&lt;p&gt;When a nonconformity occurs, the organisation shall evaluate the need for action to eliminate the causes of nonconformity, in order that it does not recur or occur elsewhere, by determining if similar nonconformities exist, or could potentially occur.&lt;/p&gt;</t>
  </si>
  <si>
    <t>10.2.c</t>
  </si>
  <si>
    <t>Implement any action needed</t>
  </si>
  <si>
    <t>&lt;p&gt;When a nonconformity occurs, the organisation shall implement any action needed.&lt;/p&gt;</t>
  </si>
  <si>
    <t>10.2.d</t>
  </si>
  <si>
    <t>Review the effectiveness of any corrective action taken</t>
  </si>
  <si>
    <t>&lt;p&gt;When a nonconformity occurs, the organisation shall review the effectiveness of any corrective action taken.&lt;/p&gt;</t>
  </si>
  <si>
    <t>10.2.e</t>
  </si>
  <si>
    <t>Make changes to the information security management system, if necessary</t>
  </si>
  <si>
    <t>&lt;p&gt;When a nonconformity occurs, the organisation shall make changes to the information security management system, if necessary.&lt;/p&gt;</t>
  </si>
  <si>
    <t>10.2.f</t>
  </si>
  <si>
    <t>The nature of the nonconformities and any subsequent actions taken</t>
  </si>
  <si>
    <t>&lt;p&gt;Documented information shall be available as evidence of the nature of the nonconformities and any subsequent actions taken.&lt;/p&gt;</t>
  </si>
  <si>
    <t>Continual Improvement and Document Management</t>
  </si>
  <si>
    <t>cips, documenttrees</t>
  </si>
  <si>
    <t>10.2.g</t>
  </si>
  <si>
    <t>The results of any corrective action</t>
  </si>
  <si>
    <t>&lt;p&gt;Documented information shall be available as evidence of the results of any corrective action.&lt;/p&gt;</t>
  </si>
  <si>
    <t>Version of Toolkit:</t>
  </si>
  <si>
    <t>YYYY ??? Edition</t>
  </si>
  <si>
    <t>Controls</t>
  </si>
  <si>
    <t>Sub-Controls</t>
  </si>
  <si>
    <t>Total Controls per Section</t>
  </si>
  <si>
    <t>Section 4</t>
  </si>
  <si>
    <t>Section 5</t>
  </si>
  <si>
    <t>Section 6</t>
  </si>
  <si>
    <t>Section 7</t>
  </si>
  <si>
    <t>Section 8</t>
  </si>
  <si>
    <t>Section 9</t>
  </si>
  <si>
    <t>Section 10</t>
  </si>
  <si>
    <t>Total Clauses</t>
  </si>
  <si>
    <t>Total Controls</t>
  </si>
  <si>
    <t>Total Sub-Controls</t>
  </si>
  <si>
    <t>For each Module, if applicable put "TRUE"</t>
  </si>
</sst>
</file>

<file path=xl/styles.xml><?xml version="1.0" encoding="utf-8"?>
<styleSheet xmlns="http://schemas.openxmlformats.org/spreadsheetml/2006/main">
  <numFmts count="4">
    <numFmt numFmtId="44" formatCode="_-&quot;£&quot;* #,##0.00_-;\-&quot;£&quot;* #,##0.00_-;_-&quot;£&quot;* &quot;-&quot;??_-;_-@_-"/>
    <numFmt numFmtId="43" formatCode="_-* #,##0.00_-;\-* #,##0.00_-;_-* &quot;-&quot;??_-;_-@_-"/>
    <numFmt numFmtId="42" formatCode="_-&quot;£&quot;* #,##0_-;\-&quot;£&quot;* #,##0_-;_-&quot;£&quot;* &quot;-&quot;_-;_-@_-"/>
    <numFmt numFmtId="41" formatCode="_-* #,##0_-;\-* #,##0_-;_-* &quot;-&quot;_-;_-@_-"/>
  </numFmts>
  <fonts count="24">
    <font>
      <sz val="11"/>
      <color theme="1"/>
      <name val="Calibri"/>
      <charset val="134"/>
      <scheme val="minor"/>
    </font>
    <font>
      <b/>
      <sz val="18"/>
      <color theme="1"/>
      <name val="Calibri"/>
      <charset val="134"/>
      <scheme val="minor"/>
    </font>
    <font>
      <sz val="18"/>
      <color theme="1"/>
      <name val="Calibri"/>
      <charset val="134"/>
      <scheme val="minor"/>
    </font>
    <font>
      <b/>
      <sz val="11"/>
      <color theme="1"/>
      <name val="Calibri"/>
      <charset val="134"/>
      <scheme val="minor"/>
    </font>
    <font>
      <b/>
      <sz val="11"/>
      <color theme="1"/>
      <name val="Calibri"/>
      <charset val="134"/>
    </font>
    <font>
      <u/>
      <sz val="11"/>
      <color rgb="FF800080"/>
      <name val="Calibri"/>
      <charset val="0"/>
      <scheme val="minor"/>
    </font>
    <font>
      <u/>
      <sz val="11"/>
      <color rgb="FF0000FF"/>
      <name val="Calibri"/>
      <charset val="0"/>
      <scheme val="minor"/>
    </font>
    <font>
      <b/>
      <sz val="15"/>
      <color theme="3"/>
      <name val="Calibri"/>
      <charset val="134"/>
      <scheme val="minor"/>
    </font>
    <font>
      <b/>
      <sz val="18"/>
      <color theme="3"/>
      <name val="Calibri"/>
      <charset val="134"/>
      <scheme val="minor"/>
    </font>
    <font>
      <sz val="11"/>
      <color theme="1"/>
      <name val="Calibri"/>
      <charset val="0"/>
      <scheme val="minor"/>
    </font>
    <font>
      <sz val="11"/>
      <color theme="0"/>
      <name val="Calibri"/>
      <charset val="0"/>
      <scheme val="minor"/>
    </font>
    <font>
      <sz val="11"/>
      <color rgb="FFFF0000"/>
      <name val="Calibri"/>
      <charset val="0"/>
      <scheme val="minor"/>
    </font>
    <font>
      <sz val="11"/>
      <color rgb="FF9C6500"/>
      <name val="Calibri"/>
      <charset val="0"/>
      <scheme val="minor"/>
    </font>
    <font>
      <b/>
      <sz val="11"/>
      <color theme="1"/>
      <name val="Calibri"/>
      <charset val="0"/>
      <scheme val="minor"/>
    </font>
    <font>
      <b/>
      <sz val="11"/>
      <color theme="3"/>
      <name val="Calibri"/>
      <charset val="134"/>
      <scheme val="minor"/>
    </font>
    <font>
      <b/>
      <sz val="13"/>
      <color theme="3"/>
      <name val="Calibri"/>
      <charset val="134"/>
      <scheme val="minor"/>
    </font>
    <font>
      <b/>
      <sz val="11"/>
      <color rgb="FFFFFFFF"/>
      <name val="Calibri"/>
      <charset val="0"/>
      <scheme val="minor"/>
    </font>
    <font>
      <i/>
      <sz val="11"/>
      <color rgb="FF7F7F7F"/>
      <name val="Calibri"/>
      <charset val="0"/>
      <scheme val="minor"/>
    </font>
    <font>
      <sz val="11"/>
      <color rgb="FFFA7D00"/>
      <name val="Calibri"/>
      <charset val="0"/>
      <scheme val="minor"/>
    </font>
    <font>
      <sz val="11"/>
      <color rgb="FF3F3F76"/>
      <name val="Calibri"/>
      <charset val="0"/>
      <scheme val="minor"/>
    </font>
    <font>
      <b/>
      <sz val="11"/>
      <color rgb="FFFA7D00"/>
      <name val="Calibri"/>
      <charset val="0"/>
      <scheme val="minor"/>
    </font>
    <font>
      <sz val="11"/>
      <color rgb="FF006100"/>
      <name val="Calibri"/>
      <charset val="0"/>
      <scheme val="minor"/>
    </font>
    <font>
      <b/>
      <sz val="11"/>
      <color rgb="FF3F3F3F"/>
      <name val="Calibri"/>
      <charset val="0"/>
      <scheme val="minor"/>
    </font>
    <font>
      <sz val="11"/>
      <color rgb="FF9C0006"/>
      <name val="Calibri"/>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5" tint="0.399975585192419"/>
        <bgColor indexed="64"/>
      </patternFill>
    </fill>
    <fill>
      <patternFill patternType="solid">
        <fgColor theme="9"/>
        <bgColor indexed="64"/>
      </patternFill>
    </fill>
    <fill>
      <patternFill patternType="solid">
        <fgColor theme="6" tint="0.599993896298105"/>
        <bgColor indexed="64"/>
      </patternFill>
    </fill>
    <fill>
      <patternFill patternType="solid">
        <fgColor rgb="FFFFFFCC"/>
        <bgColor indexed="64"/>
      </patternFill>
    </fill>
    <fill>
      <patternFill patternType="solid">
        <fgColor rgb="FFFFEB9C"/>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rgb="FFA5A5A5"/>
        <bgColor indexed="64"/>
      </patternFill>
    </fill>
    <fill>
      <patternFill patternType="solid">
        <fgColor theme="5"/>
        <bgColor indexed="64"/>
      </patternFill>
    </fill>
    <fill>
      <patternFill patternType="solid">
        <fgColor rgb="FFFFCC99"/>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4"/>
        <bgColor indexed="64"/>
      </patternFill>
    </fill>
    <fill>
      <patternFill patternType="solid">
        <fgColor rgb="FFF2F2F2"/>
        <bgColor indexed="64"/>
      </patternFill>
    </fill>
    <fill>
      <patternFill patternType="solid">
        <fgColor rgb="FFC6EFCE"/>
        <bgColor indexed="64"/>
      </patternFill>
    </fill>
    <fill>
      <patternFill patternType="solid">
        <fgColor theme="4" tint="0.799981688894314"/>
        <bgColor indexed="64"/>
      </patternFill>
    </fill>
    <fill>
      <patternFill patternType="solid">
        <fgColor rgb="FFFFC7CE"/>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6"/>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theme="7"/>
        <bgColor indexed="64"/>
      </patternFill>
    </fill>
    <fill>
      <patternFill patternType="solid">
        <fgColor theme="8"/>
        <bgColor indexed="64"/>
      </patternFill>
    </fill>
    <fill>
      <patternFill patternType="solid">
        <fgColor theme="9" tint="0.599993896298105"/>
        <bgColor indexed="64"/>
      </patternFill>
    </fill>
    <fill>
      <patternFill patternType="solid">
        <fgColor theme="8"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9" fillId="2" borderId="0" applyNumberFormat="0" applyBorder="0" applyAlignment="0" applyProtection="0">
      <alignment vertical="center"/>
    </xf>
    <xf numFmtId="43"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10" fillId="9" borderId="0" applyNumberFormat="0" applyBorder="0" applyAlignment="0" applyProtection="0">
      <alignment vertical="center"/>
    </xf>
    <xf numFmtId="0" fontId="5" fillId="0" borderId="0" applyNumberFormat="0" applyFill="0" applyBorder="0" applyAlignment="0" applyProtection="0">
      <alignment vertical="center"/>
    </xf>
    <xf numFmtId="0" fontId="16" fillId="11" borderId="6" applyNumberFormat="0" applyAlignment="0" applyProtection="0">
      <alignment vertical="center"/>
    </xf>
    <xf numFmtId="0" fontId="15" fillId="0" borderId="2" applyNumberFormat="0" applyFill="0" applyAlignment="0" applyProtection="0">
      <alignment vertical="center"/>
    </xf>
    <xf numFmtId="0" fontId="0" fillId="6" borderId="3" applyNumberFormat="0" applyFont="0" applyAlignment="0" applyProtection="0">
      <alignment vertical="center"/>
    </xf>
    <xf numFmtId="0" fontId="9" fillId="5" borderId="0" applyNumberFormat="0" applyBorder="0" applyAlignment="0" applyProtection="0">
      <alignment vertical="center"/>
    </xf>
    <xf numFmtId="0" fontId="11" fillId="0" borderId="0" applyNumberFormat="0" applyFill="0" applyBorder="0" applyAlignment="0" applyProtection="0">
      <alignment vertical="center"/>
    </xf>
    <xf numFmtId="0" fontId="9" fillId="10" borderId="0" applyNumberFormat="0" applyBorder="0" applyAlignment="0" applyProtection="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7" fillId="0" borderId="2"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9" fillId="13" borderId="8" applyNumberFormat="0" applyAlignment="0" applyProtection="0">
      <alignment vertical="center"/>
    </xf>
    <xf numFmtId="0" fontId="10" fillId="15" borderId="0" applyNumberFormat="0" applyBorder="0" applyAlignment="0" applyProtection="0">
      <alignment vertical="center"/>
    </xf>
    <xf numFmtId="0" fontId="21" fillId="19" borderId="0" applyNumberFormat="0" applyBorder="0" applyAlignment="0" applyProtection="0">
      <alignment vertical="center"/>
    </xf>
    <xf numFmtId="0" fontId="22" fillId="18" borderId="9" applyNumberFormat="0" applyAlignment="0" applyProtection="0">
      <alignment vertical="center"/>
    </xf>
    <xf numFmtId="0" fontId="9" fillId="20" borderId="0" applyNumberFormat="0" applyBorder="0" applyAlignment="0" applyProtection="0">
      <alignment vertical="center"/>
    </xf>
    <xf numFmtId="0" fontId="20" fillId="18" borderId="8" applyNumberFormat="0" applyAlignment="0" applyProtection="0">
      <alignment vertical="center"/>
    </xf>
    <xf numFmtId="0" fontId="18" fillId="0" borderId="7" applyNumberFormat="0" applyFill="0" applyAlignment="0" applyProtection="0">
      <alignment vertical="center"/>
    </xf>
    <xf numFmtId="0" fontId="13" fillId="0" borderId="4" applyNumberFormat="0" applyFill="0" applyAlignment="0" applyProtection="0">
      <alignment vertical="center"/>
    </xf>
    <xf numFmtId="0" fontId="23" fillId="21" borderId="0" applyNumberFormat="0" applyBorder="0" applyAlignment="0" applyProtection="0">
      <alignment vertical="center"/>
    </xf>
    <xf numFmtId="0" fontId="12" fillId="7" borderId="0" applyNumberFormat="0" applyBorder="0" applyAlignment="0" applyProtection="0">
      <alignment vertical="center"/>
    </xf>
    <xf numFmtId="0" fontId="10" fillId="17" borderId="0" applyNumberFormat="0" applyBorder="0" applyAlignment="0" applyProtection="0">
      <alignment vertical="center"/>
    </xf>
    <xf numFmtId="0" fontId="9" fillId="23" borderId="0" applyNumberFormat="0" applyBorder="0" applyAlignment="0" applyProtection="0">
      <alignment vertical="center"/>
    </xf>
    <xf numFmtId="0" fontId="10" fillId="24" borderId="0" applyNumberFormat="0" applyBorder="0" applyAlignment="0" applyProtection="0">
      <alignment vertical="center"/>
    </xf>
    <xf numFmtId="0" fontId="10" fillId="12" borderId="0" applyNumberFormat="0" applyBorder="0" applyAlignment="0" applyProtection="0">
      <alignment vertical="center"/>
    </xf>
    <xf numFmtId="0" fontId="9" fillId="16" borderId="0" applyNumberFormat="0" applyBorder="0" applyAlignment="0" applyProtection="0">
      <alignment vertical="center"/>
    </xf>
    <xf numFmtId="0" fontId="9" fillId="25" borderId="0" applyNumberFormat="0" applyBorder="0" applyAlignment="0" applyProtection="0">
      <alignment vertical="center"/>
    </xf>
    <xf numFmtId="0" fontId="10" fillId="3" borderId="0" applyNumberFormat="0" applyBorder="0" applyAlignment="0" applyProtection="0">
      <alignment vertical="center"/>
    </xf>
    <xf numFmtId="0" fontId="10" fillId="26" borderId="0" applyNumberFormat="0" applyBorder="0" applyAlignment="0" applyProtection="0">
      <alignment vertical="center"/>
    </xf>
    <xf numFmtId="0" fontId="9" fillId="28" borderId="0" applyNumberFormat="0" applyBorder="0" applyAlignment="0" applyProtection="0">
      <alignment vertical="center"/>
    </xf>
    <xf numFmtId="0" fontId="10" fillId="29" borderId="0" applyNumberFormat="0" applyBorder="0" applyAlignment="0" applyProtection="0">
      <alignment vertical="center"/>
    </xf>
    <xf numFmtId="0" fontId="9" fillId="14" borderId="0" applyNumberFormat="0" applyBorder="0" applyAlignment="0" applyProtection="0">
      <alignment vertical="center"/>
    </xf>
    <xf numFmtId="0" fontId="9" fillId="22" borderId="0" applyNumberFormat="0" applyBorder="0" applyAlignment="0" applyProtection="0">
      <alignment vertical="center"/>
    </xf>
    <xf numFmtId="0" fontId="10" fillId="30" borderId="0" applyNumberFormat="0" applyBorder="0" applyAlignment="0" applyProtection="0">
      <alignment vertical="center"/>
    </xf>
    <xf numFmtId="0" fontId="9" fillId="8" borderId="0" applyNumberFormat="0" applyBorder="0" applyAlignment="0" applyProtection="0">
      <alignment vertical="center"/>
    </xf>
    <xf numFmtId="0" fontId="10" fillId="32" borderId="0" applyNumberFormat="0" applyBorder="0" applyAlignment="0" applyProtection="0">
      <alignment vertical="center"/>
    </xf>
    <xf numFmtId="0" fontId="10" fillId="4" borderId="0" applyNumberFormat="0" applyBorder="0" applyAlignment="0" applyProtection="0">
      <alignment vertical="center"/>
    </xf>
    <xf numFmtId="0" fontId="9" fillId="31" borderId="0" applyNumberFormat="0" applyBorder="0" applyAlignment="0" applyProtection="0">
      <alignment vertical="center"/>
    </xf>
    <xf numFmtId="0" fontId="10" fillId="27" borderId="0" applyNumberFormat="0" applyBorder="0" applyAlignment="0" applyProtection="0">
      <alignment vertical="center"/>
    </xf>
  </cellStyleXfs>
  <cellXfs count="10">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NumberFormat="1" applyFont="1" applyBorder="1" applyAlignment="1">
      <alignment horizontal="center" vertical="center"/>
    </xf>
    <xf numFmtId="0" fontId="0" fillId="0" borderId="0" xfId="0" applyAlignment="1">
      <alignment horizontal="center" vertical="center" wrapText="1"/>
    </xf>
    <xf numFmtId="0" fontId="0" fillId="0" borderId="0" xfId="0"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Fill="1" applyAlignment="1">
      <alignment horizontal="center" vertical="center" wrapText="1"/>
    </xf>
    <xf numFmtId="0" fontId="0" fillId="0" borderId="0" xfId="0" applyFont="1" applyAlignment="1">
      <alignment horizontal="center"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Zain\OneDrive%20-%20iMS%20Systems\0%20-%20Important%20IMS%20Docs\0%20-%20Compliance\2%20-%20Updated%20Versions%20+%20Latest%20New%20Toolkits\2%20-%20To%20Update%20Again%20Again\Previous%20Version\iso27001-2022%20v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oolkit"/>
      <sheetName val="Overview"/>
      <sheetName val="DO NOT CHANGE or DELETE"/>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68"/>
  <sheetViews>
    <sheetView tabSelected="1" workbookViewId="0">
      <pane ySplit="1" topLeftCell="A2" activePane="bottomLeft" state="frozen"/>
      <selection/>
      <selection pane="bottomLeft" activeCell="A1" sqref="A1"/>
    </sheetView>
  </sheetViews>
  <sheetFormatPr defaultColWidth="9" defaultRowHeight="15"/>
  <cols>
    <col min="1" max="1" width="9.71428571428571" style="4" customWidth="1"/>
    <col min="2" max="2" width="81.2857142857143" style="4" customWidth="1"/>
    <col min="3" max="3" width="56.5714285714286" style="4" customWidth="1"/>
    <col min="4" max="4" width="9" style="4"/>
    <col min="5" max="5" width="44.2857142857143" style="4" customWidth="1"/>
    <col min="6" max="6" width="30.7142857142857" style="4" customWidth="1"/>
    <col min="7" max="7" width="19.4285714285714" style="4" customWidth="1"/>
    <col min="8" max="8" width="26.3809523809524" style="4" customWidth="1"/>
    <col min="9" max="9" width="24.8571428571429" style="4" customWidth="1"/>
    <col min="10" max="15" width="15.7142857142857" style="4" customWidth="1"/>
    <col min="16" max="16" width="18.7142857142857" style="4" customWidth="1"/>
    <col min="17" max="19" width="15.7142857142857" style="4" customWidth="1"/>
    <col min="20" max="20" width="19.8571428571429" style="4" customWidth="1"/>
    <col min="21" max="27" width="15.7142857142857" style="4" customWidth="1"/>
    <col min="28" max="16384" width="9" style="4"/>
  </cols>
  <sheetData>
    <row r="1" spans="1:27">
      <c r="A1" s="5"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r="2" spans="1:7">
      <c r="A2" s="6">
        <v>4</v>
      </c>
      <c r="B2" s="7" t="s">
        <v>27</v>
      </c>
      <c r="G2" s="4" t="s">
        <v>28</v>
      </c>
    </row>
    <row r="3" ht="60" spans="1:7">
      <c r="A3" s="6">
        <v>4.1</v>
      </c>
      <c r="B3" s="7" t="s">
        <v>29</v>
      </c>
      <c r="C3" s="4" t="s">
        <v>30</v>
      </c>
      <c r="E3" s="4" t="s">
        <v>31</v>
      </c>
      <c r="G3" s="4" t="s">
        <v>32</v>
      </c>
    </row>
    <row r="4" ht="45" spans="1:7">
      <c r="A4" s="6">
        <v>4.2</v>
      </c>
      <c r="B4" s="6" t="s">
        <v>33</v>
      </c>
      <c r="E4" s="4" t="s">
        <v>34</v>
      </c>
      <c r="G4" s="4" t="s">
        <v>32</v>
      </c>
    </row>
    <row r="5" ht="30" spans="1:7">
      <c r="A5" s="4" t="s">
        <v>35</v>
      </c>
      <c r="B5" s="4" t="s">
        <v>36</v>
      </c>
      <c r="C5" s="4" t="s">
        <v>37</v>
      </c>
      <c r="G5" s="4" t="s">
        <v>38</v>
      </c>
    </row>
    <row r="6" ht="30" spans="1:7">
      <c r="A6" s="4" t="s">
        <v>39</v>
      </c>
      <c r="B6" s="4" t="s">
        <v>40</v>
      </c>
      <c r="C6" s="4" t="s">
        <v>41</v>
      </c>
      <c r="G6" s="4" t="s">
        <v>38</v>
      </c>
    </row>
    <row r="7" ht="45" spans="1:7">
      <c r="A7" s="4" t="s">
        <v>42</v>
      </c>
      <c r="B7" s="4" t="s">
        <v>43</v>
      </c>
      <c r="C7" s="4" t="s">
        <v>44</v>
      </c>
      <c r="G7" s="4" t="s">
        <v>38</v>
      </c>
    </row>
    <row r="8" ht="90" spans="1:7">
      <c r="A8" s="6">
        <v>4.3</v>
      </c>
      <c r="B8" s="6" t="s">
        <v>45</v>
      </c>
      <c r="C8" s="4" t="s">
        <v>46</v>
      </c>
      <c r="G8" s="4" t="s">
        <v>32</v>
      </c>
    </row>
    <row r="9" ht="30" spans="1:7">
      <c r="A9" s="4" t="s">
        <v>47</v>
      </c>
      <c r="B9" s="4" t="s">
        <v>48</v>
      </c>
      <c r="C9" s="4" t="s">
        <v>49</v>
      </c>
      <c r="G9" s="4" t="s">
        <v>38</v>
      </c>
    </row>
    <row r="10" ht="30" spans="1:7">
      <c r="A10" s="4" t="s">
        <v>50</v>
      </c>
      <c r="B10" s="4" t="s">
        <v>51</v>
      </c>
      <c r="C10" s="4" t="s">
        <v>52</v>
      </c>
      <c r="G10" s="4" t="s">
        <v>38</v>
      </c>
    </row>
    <row r="11" ht="60" spans="1:7">
      <c r="A11" s="4" t="s">
        <v>53</v>
      </c>
      <c r="B11" s="4" t="s">
        <v>54</v>
      </c>
      <c r="C11" s="4" t="s">
        <v>55</v>
      </c>
      <c r="G11" s="4" t="s">
        <v>38</v>
      </c>
    </row>
    <row r="12" ht="60" spans="1:22">
      <c r="A12" s="6">
        <v>4.4</v>
      </c>
      <c r="B12" s="6" t="s">
        <v>56</v>
      </c>
      <c r="C12" s="4" t="s">
        <v>57</v>
      </c>
      <c r="G12" s="4" t="s">
        <v>32</v>
      </c>
      <c r="H12" s="4" t="s">
        <v>58</v>
      </c>
      <c r="I12" s="4" t="s">
        <v>21</v>
      </c>
      <c r="V12" s="4" t="b">
        <v>1</v>
      </c>
    </row>
    <row r="14" spans="1:7">
      <c r="A14" s="6">
        <v>5</v>
      </c>
      <c r="B14" s="6" t="s">
        <v>59</v>
      </c>
      <c r="G14" s="4" t="s">
        <v>28</v>
      </c>
    </row>
    <row r="15" ht="60" spans="1:7">
      <c r="A15" s="6">
        <v>5.1</v>
      </c>
      <c r="B15" s="6" t="s">
        <v>60</v>
      </c>
      <c r="E15" s="4" t="s">
        <v>61</v>
      </c>
      <c r="G15" s="4" t="s">
        <v>32</v>
      </c>
    </row>
    <row r="16" ht="90" spans="1:7">
      <c r="A16" s="4" t="s">
        <v>62</v>
      </c>
      <c r="B16" s="4" t="s">
        <v>63</v>
      </c>
      <c r="C16" s="4" t="s">
        <v>64</v>
      </c>
      <c r="G16" s="4" t="s">
        <v>38</v>
      </c>
    </row>
    <row r="17" ht="75" spans="1:7">
      <c r="A17" s="4" t="s">
        <v>65</v>
      </c>
      <c r="B17" s="4" t="s">
        <v>66</v>
      </c>
      <c r="C17" s="4" t="s">
        <v>67</v>
      </c>
      <c r="G17" s="4" t="s">
        <v>38</v>
      </c>
    </row>
    <row r="18" ht="75" spans="1:7">
      <c r="A18" s="4" t="s">
        <v>68</v>
      </c>
      <c r="B18" s="4" t="s">
        <v>69</v>
      </c>
      <c r="C18" s="4" t="s">
        <v>70</v>
      </c>
      <c r="G18" s="4" t="s">
        <v>38</v>
      </c>
    </row>
    <row r="19" ht="90" spans="1:7">
      <c r="A19" s="4" t="s">
        <v>71</v>
      </c>
      <c r="B19" s="4" t="s">
        <v>72</v>
      </c>
      <c r="C19" s="4" t="s">
        <v>73</v>
      </c>
      <c r="G19" s="4" t="s">
        <v>38</v>
      </c>
    </row>
    <row r="20" ht="60" spans="1:7">
      <c r="A20" s="4" t="s">
        <v>74</v>
      </c>
      <c r="B20" s="4" t="s">
        <v>75</v>
      </c>
      <c r="C20" s="4" t="s">
        <v>76</v>
      </c>
      <c r="G20" s="4" t="s">
        <v>38</v>
      </c>
    </row>
    <row r="21" ht="75" spans="1:7">
      <c r="A21" s="4" t="s">
        <v>77</v>
      </c>
      <c r="B21" s="4" t="s">
        <v>78</v>
      </c>
      <c r="C21" s="4" t="s">
        <v>79</v>
      </c>
      <c r="G21" s="4" t="s">
        <v>38</v>
      </c>
    </row>
    <row r="22" ht="60" spans="1:22">
      <c r="A22" s="4" t="s">
        <v>80</v>
      </c>
      <c r="B22" s="4" t="s">
        <v>81</v>
      </c>
      <c r="C22" s="4" t="s">
        <v>82</v>
      </c>
      <c r="G22" s="4" t="s">
        <v>38</v>
      </c>
      <c r="H22" s="4" t="s">
        <v>58</v>
      </c>
      <c r="I22" s="4" t="s">
        <v>21</v>
      </c>
      <c r="V22" s="4" t="b">
        <v>1</v>
      </c>
    </row>
    <row r="23" ht="75" spans="1:7">
      <c r="A23" s="4" t="s">
        <v>83</v>
      </c>
      <c r="B23" s="4" t="s">
        <v>84</v>
      </c>
      <c r="C23" s="4" t="s">
        <v>85</v>
      </c>
      <c r="G23" s="4" t="s">
        <v>38</v>
      </c>
    </row>
    <row r="24" spans="1:7">
      <c r="A24" s="6">
        <v>5.2</v>
      </c>
      <c r="B24" s="6" t="s">
        <v>86</v>
      </c>
      <c r="G24" s="4" t="s">
        <v>32</v>
      </c>
    </row>
    <row r="25" ht="45" spans="1:7">
      <c r="A25" s="4" t="s">
        <v>87</v>
      </c>
      <c r="B25" s="4" t="s">
        <v>88</v>
      </c>
      <c r="C25" s="4" t="s">
        <v>89</v>
      </c>
      <c r="G25" s="4" t="s">
        <v>38</v>
      </c>
    </row>
    <row r="26" ht="60" spans="1:7">
      <c r="A26" s="4" t="s">
        <v>90</v>
      </c>
      <c r="B26" s="4" t="s">
        <v>91</v>
      </c>
      <c r="C26" s="4" t="s">
        <v>92</v>
      </c>
      <c r="G26" s="4" t="s">
        <v>38</v>
      </c>
    </row>
    <row r="27" ht="45" spans="1:7">
      <c r="A27" s="4" t="s">
        <v>93</v>
      </c>
      <c r="B27" s="4" t="s">
        <v>94</v>
      </c>
      <c r="C27" s="4" t="s">
        <v>95</v>
      </c>
      <c r="G27" s="4" t="s">
        <v>38</v>
      </c>
    </row>
    <row r="28" ht="45" spans="1:22">
      <c r="A28" s="4" t="s">
        <v>96</v>
      </c>
      <c r="B28" s="4" t="s">
        <v>97</v>
      </c>
      <c r="C28" s="4" t="s">
        <v>98</v>
      </c>
      <c r="G28" s="4" t="s">
        <v>38</v>
      </c>
      <c r="H28" s="4" t="s">
        <v>58</v>
      </c>
      <c r="I28" s="4" t="s">
        <v>21</v>
      </c>
      <c r="V28" s="4" t="b">
        <v>1</v>
      </c>
    </row>
    <row r="29" ht="30" spans="1:25">
      <c r="A29" s="4" t="s">
        <v>99</v>
      </c>
      <c r="B29" s="4" t="s">
        <v>100</v>
      </c>
      <c r="C29" s="4" t="s">
        <v>101</v>
      </c>
      <c r="G29" s="4" t="s">
        <v>38</v>
      </c>
      <c r="H29" s="4" t="s">
        <v>102</v>
      </c>
      <c r="I29" s="4" t="s">
        <v>24</v>
      </c>
      <c r="Y29" s="4" t="b">
        <v>1</v>
      </c>
    </row>
    <row r="30" ht="30" spans="1:7">
      <c r="A30" s="4" t="s">
        <v>103</v>
      </c>
      <c r="B30" s="4" t="s">
        <v>104</v>
      </c>
      <c r="C30" s="4" t="s">
        <v>105</v>
      </c>
      <c r="G30" s="4" t="s">
        <v>38</v>
      </c>
    </row>
    <row r="31" ht="30" spans="1:7">
      <c r="A31" s="4" t="s">
        <v>106</v>
      </c>
      <c r="B31" s="4" t="s">
        <v>107</v>
      </c>
      <c r="C31" s="4" t="s">
        <v>108</v>
      </c>
      <c r="G31" s="4" t="s">
        <v>38</v>
      </c>
    </row>
    <row r="32" ht="75" spans="1:7">
      <c r="A32" s="6">
        <v>5.3</v>
      </c>
      <c r="B32" s="6" t="s">
        <v>109</v>
      </c>
      <c r="C32" s="4" t="s">
        <v>110</v>
      </c>
      <c r="E32" s="4" t="s">
        <v>111</v>
      </c>
      <c r="G32" s="4" t="s">
        <v>32</v>
      </c>
    </row>
    <row r="33" ht="60" spans="1:7">
      <c r="A33" s="4" t="s">
        <v>112</v>
      </c>
      <c r="B33" s="4" t="s">
        <v>113</v>
      </c>
      <c r="C33" s="4" t="s">
        <v>114</v>
      </c>
      <c r="G33" s="4" t="s">
        <v>38</v>
      </c>
    </row>
    <row r="34" ht="45" spans="1:7">
      <c r="A34" s="4" t="s">
        <v>115</v>
      </c>
      <c r="B34" s="4" t="s">
        <v>116</v>
      </c>
      <c r="C34" s="4" t="s">
        <v>117</v>
      </c>
      <c r="G34" s="4" t="s">
        <v>38</v>
      </c>
    </row>
    <row r="36" spans="1:7">
      <c r="A36" s="6">
        <v>6</v>
      </c>
      <c r="B36" s="6" t="s">
        <v>118</v>
      </c>
      <c r="G36" s="4" t="s">
        <v>28</v>
      </c>
    </row>
    <row r="37" spans="1:7">
      <c r="A37" s="6">
        <v>6.1</v>
      </c>
      <c r="B37" s="6" t="s">
        <v>119</v>
      </c>
      <c r="G37" s="4" t="s">
        <v>32</v>
      </c>
    </row>
    <row r="38" spans="1:7">
      <c r="A38" s="6" t="s">
        <v>120</v>
      </c>
      <c r="B38" s="6" t="s">
        <v>121</v>
      </c>
      <c r="G38" s="4" t="s">
        <v>38</v>
      </c>
    </row>
    <row r="39" ht="90" spans="1:22">
      <c r="A39" s="4" t="s">
        <v>122</v>
      </c>
      <c r="B39" s="4" t="s">
        <v>123</v>
      </c>
      <c r="C39" s="4" t="s">
        <v>124</v>
      </c>
      <c r="G39" s="4" t="s">
        <v>38</v>
      </c>
      <c r="H39" s="4" t="s">
        <v>125</v>
      </c>
      <c r="I39" s="4" t="s">
        <v>126</v>
      </c>
      <c r="Q39" s="4" t="b">
        <v>1</v>
      </c>
      <c r="V39" s="4" t="b">
        <v>1</v>
      </c>
    </row>
    <row r="40" ht="75" spans="1:22">
      <c r="A40" s="4" t="s">
        <v>127</v>
      </c>
      <c r="B40" s="4" t="s">
        <v>128</v>
      </c>
      <c r="C40" s="4" t="s">
        <v>129</v>
      </c>
      <c r="G40" s="4" t="s">
        <v>38</v>
      </c>
      <c r="H40" s="4" t="s">
        <v>125</v>
      </c>
      <c r="I40" s="4" t="s">
        <v>126</v>
      </c>
      <c r="Q40" s="4" t="b">
        <v>1</v>
      </c>
      <c r="V40" s="4" t="b">
        <v>1</v>
      </c>
    </row>
    <row r="41" ht="75" spans="1:22">
      <c r="A41" s="4" t="s">
        <v>130</v>
      </c>
      <c r="B41" s="4" t="s">
        <v>131</v>
      </c>
      <c r="C41" s="4" t="s">
        <v>132</v>
      </c>
      <c r="G41" s="4" t="s">
        <v>38</v>
      </c>
      <c r="H41" s="4" t="s">
        <v>125</v>
      </c>
      <c r="I41" s="4" t="s">
        <v>126</v>
      </c>
      <c r="Q41" s="4" t="b">
        <v>1</v>
      </c>
      <c r="V41" s="4" t="b">
        <v>1</v>
      </c>
    </row>
    <row r="42" ht="30" spans="1:22">
      <c r="A42" s="4" t="s">
        <v>133</v>
      </c>
      <c r="B42" s="4" t="s">
        <v>134</v>
      </c>
      <c r="C42" s="4" t="s">
        <v>135</v>
      </c>
      <c r="G42" s="4" t="s">
        <v>38</v>
      </c>
      <c r="H42" s="4" t="s">
        <v>125</v>
      </c>
      <c r="I42" s="4" t="s">
        <v>126</v>
      </c>
      <c r="Q42" s="4" t="b">
        <v>1</v>
      </c>
      <c r="V42" s="4" t="b">
        <v>1</v>
      </c>
    </row>
    <row r="43" spans="1:7">
      <c r="A43" s="4" t="s">
        <v>136</v>
      </c>
      <c r="B43" s="4" t="s">
        <v>137</v>
      </c>
      <c r="C43" s="4" t="s">
        <v>138</v>
      </c>
      <c r="G43" s="4" t="s">
        <v>38</v>
      </c>
    </row>
    <row r="44" ht="45" spans="1:22">
      <c r="A44" s="4" t="s">
        <v>139</v>
      </c>
      <c r="B44" s="4" t="s">
        <v>140</v>
      </c>
      <c r="C44" s="4" t="s">
        <v>141</v>
      </c>
      <c r="G44" s="4" t="s">
        <v>38</v>
      </c>
      <c r="H44" s="4" t="s">
        <v>125</v>
      </c>
      <c r="I44" s="4" t="s">
        <v>126</v>
      </c>
      <c r="Q44" s="4" t="b">
        <v>1</v>
      </c>
      <c r="V44" s="4" t="b">
        <v>1</v>
      </c>
    </row>
    <row r="45" ht="30" spans="1:22">
      <c r="A45" s="4" t="s">
        <v>142</v>
      </c>
      <c r="B45" s="4" t="s">
        <v>143</v>
      </c>
      <c r="C45" s="4" t="s">
        <v>144</v>
      </c>
      <c r="G45" s="4" t="s">
        <v>38</v>
      </c>
      <c r="H45" s="4" t="s">
        <v>125</v>
      </c>
      <c r="I45" s="4" t="s">
        <v>126</v>
      </c>
      <c r="Q45" s="4" t="b">
        <v>1</v>
      </c>
      <c r="V45" s="4" t="b">
        <v>1</v>
      </c>
    </row>
    <row r="46" ht="30" spans="1:7">
      <c r="A46" s="6" t="s">
        <v>145</v>
      </c>
      <c r="B46" s="6" t="s">
        <v>146</v>
      </c>
      <c r="C46" s="4" t="s">
        <v>147</v>
      </c>
      <c r="G46" s="4" t="s">
        <v>38</v>
      </c>
    </row>
    <row r="47" ht="45" spans="1:7">
      <c r="A47" s="4" t="s">
        <v>148</v>
      </c>
      <c r="B47" s="4" t="s">
        <v>149</v>
      </c>
      <c r="C47" s="4" t="s">
        <v>150</v>
      </c>
      <c r="G47" s="4" t="s">
        <v>38</v>
      </c>
    </row>
    <row r="48" ht="60" spans="1:17">
      <c r="A48" s="4" t="s">
        <v>151</v>
      </c>
      <c r="B48" s="4" t="s">
        <v>152</v>
      </c>
      <c r="C48" s="4" t="s">
        <v>153</v>
      </c>
      <c r="G48" s="4" t="s">
        <v>38</v>
      </c>
      <c r="H48" s="4" t="s">
        <v>154</v>
      </c>
      <c r="I48" s="4" t="s">
        <v>16</v>
      </c>
      <c r="Q48" s="4" t="b">
        <v>1</v>
      </c>
    </row>
    <row r="49" ht="60" spans="1:17">
      <c r="A49" s="4" t="s">
        <v>155</v>
      </c>
      <c r="B49" s="4" t="s">
        <v>156</v>
      </c>
      <c r="C49" s="4" t="s">
        <v>157</v>
      </c>
      <c r="G49" s="4" t="s">
        <v>38</v>
      </c>
      <c r="H49" s="4" t="s">
        <v>154</v>
      </c>
      <c r="I49" s="4" t="s">
        <v>16</v>
      </c>
      <c r="Q49" s="4" t="b">
        <v>1</v>
      </c>
    </row>
    <row r="50" ht="60" spans="1:17">
      <c r="A50" s="4" t="s">
        <v>158</v>
      </c>
      <c r="B50" s="4" t="s">
        <v>159</v>
      </c>
      <c r="C50" s="4" t="s">
        <v>160</v>
      </c>
      <c r="G50" s="4" t="s">
        <v>38</v>
      </c>
      <c r="H50" s="4" t="s">
        <v>154</v>
      </c>
      <c r="I50" s="4" t="s">
        <v>16</v>
      </c>
      <c r="Q50" s="4" t="b">
        <v>1</v>
      </c>
    </row>
    <row r="51" ht="45" spans="1:7">
      <c r="A51" s="4" t="s">
        <v>161</v>
      </c>
      <c r="B51" s="4" t="s">
        <v>162</v>
      </c>
      <c r="C51" s="4" t="s">
        <v>163</v>
      </c>
      <c r="G51" s="4" t="s">
        <v>38</v>
      </c>
    </row>
    <row r="52" ht="105" spans="1:17">
      <c r="A52" s="4" t="s">
        <v>164</v>
      </c>
      <c r="B52" s="4" t="s">
        <v>165</v>
      </c>
      <c r="C52" s="4" t="s">
        <v>166</v>
      </c>
      <c r="G52" s="4" t="s">
        <v>38</v>
      </c>
      <c r="H52" s="4" t="s">
        <v>154</v>
      </c>
      <c r="I52" s="4" t="s">
        <v>16</v>
      </c>
      <c r="Q52" s="4" t="b">
        <v>1</v>
      </c>
    </row>
    <row r="53" ht="45" spans="1:17">
      <c r="A53" s="4" t="s">
        <v>167</v>
      </c>
      <c r="B53" s="4" t="s">
        <v>168</v>
      </c>
      <c r="C53" s="4" t="s">
        <v>169</v>
      </c>
      <c r="G53" s="4" t="s">
        <v>38</v>
      </c>
      <c r="H53" s="4" t="s">
        <v>154</v>
      </c>
      <c r="I53" s="4" t="s">
        <v>16</v>
      </c>
      <c r="Q53" s="4" t="b">
        <v>1</v>
      </c>
    </row>
    <row r="54" ht="45" spans="1:7">
      <c r="A54" s="4" t="s">
        <v>170</v>
      </c>
      <c r="B54" s="4" t="s">
        <v>171</v>
      </c>
      <c r="C54" s="4" t="s">
        <v>172</v>
      </c>
      <c r="G54" s="4" t="s">
        <v>38</v>
      </c>
    </row>
    <row r="55" ht="75" spans="1:17">
      <c r="A55" s="4" t="s">
        <v>173</v>
      </c>
      <c r="B55" s="4" t="s">
        <v>174</v>
      </c>
      <c r="C55" s="4" t="s">
        <v>175</v>
      </c>
      <c r="G55" s="4" t="s">
        <v>38</v>
      </c>
      <c r="H55" s="4" t="s">
        <v>154</v>
      </c>
      <c r="I55" s="4" t="s">
        <v>16</v>
      </c>
      <c r="Q55" s="4" t="b">
        <v>1</v>
      </c>
    </row>
    <row r="56" ht="60" spans="1:17">
      <c r="A56" s="4" t="s">
        <v>176</v>
      </c>
      <c r="B56" s="4" t="s">
        <v>177</v>
      </c>
      <c r="C56" s="4" t="s">
        <v>178</v>
      </c>
      <c r="G56" s="4" t="s">
        <v>38</v>
      </c>
      <c r="H56" s="4" t="s">
        <v>154</v>
      </c>
      <c r="I56" s="4" t="s">
        <v>16</v>
      </c>
      <c r="Q56" s="4" t="b">
        <v>1</v>
      </c>
    </row>
    <row r="57" ht="45" spans="1:17">
      <c r="A57" s="4" t="s">
        <v>179</v>
      </c>
      <c r="B57" s="4" t="s">
        <v>180</v>
      </c>
      <c r="C57" s="4" t="s">
        <v>181</v>
      </c>
      <c r="G57" s="4" t="s">
        <v>38</v>
      </c>
      <c r="H57" s="4" t="s">
        <v>154</v>
      </c>
      <c r="I57" s="4" t="s">
        <v>16</v>
      </c>
      <c r="Q57" s="4" t="b">
        <v>1</v>
      </c>
    </row>
    <row r="58" ht="45" spans="1:7">
      <c r="A58" s="4" t="s">
        <v>182</v>
      </c>
      <c r="B58" s="4" t="s">
        <v>183</v>
      </c>
      <c r="C58" s="4" t="s">
        <v>184</v>
      </c>
      <c r="G58" s="4" t="s">
        <v>38</v>
      </c>
    </row>
    <row r="59" ht="60" spans="1:17">
      <c r="A59" s="4" t="s">
        <v>185</v>
      </c>
      <c r="B59" s="4" t="s">
        <v>186</v>
      </c>
      <c r="C59" s="4" t="s">
        <v>187</v>
      </c>
      <c r="G59" s="4" t="s">
        <v>38</v>
      </c>
      <c r="H59" s="4" t="s">
        <v>154</v>
      </c>
      <c r="I59" s="4" t="s">
        <v>16</v>
      </c>
      <c r="Q59" s="4" t="b">
        <v>1</v>
      </c>
    </row>
    <row r="60" ht="60" spans="1:17">
      <c r="A60" s="4" t="s">
        <v>188</v>
      </c>
      <c r="B60" s="4" t="s">
        <v>189</v>
      </c>
      <c r="C60" s="4" t="s">
        <v>190</v>
      </c>
      <c r="G60" s="4" t="s">
        <v>38</v>
      </c>
      <c r="H60" s="4" t="s">
        <v>154</v>
      </c>
      <c r="I60" s="4" t="s">
        <v>16</v>
      </c>
      <c r="Q60" s="4" t="b">
        <v>1</v>
      </c>
    </row>
    <row r="61" ht="60" spans="1:7">
      <c r="A61" s="8" t="s">
        <v>191</v>
      </c>
      <c r="B61" s="8" t="s">
        <v>192</v>
      </c>
      <c r="C61" s="4" t="s">
        <v>193</v>
      </c>
      <c r="E61" s="4" t="s">
        <v>194</v>
      </c>
      <c r="G61" s="4" t="s">
        <v>38</v>
      </c>
    </row>
    <row r="62" ht="60" spans="1:17">
      <c r="A62" s="4" t="s">
        <v>195</v>
      </c>
      <c r="B62" s="4" t="s">
        <v>196</v>
      </c>
      <c r="C62" s="4" t="s">
        <v>197</v>
      </c>
      <c r="G62" s="4" t="s">
        <v>38</v>
      </c>
      <c r="H62" s="4" t="s">
        <v>154</v>
      </c>
      <c r="I62" s="4" t="s">
        <v>16</v>
      </c>
      <c r="Q62" s="4" t="b">
        <v>1</v>
      </c>
    </row>
    <row r="63" ht="60" spans="1:17">
      <c r="A63" s="4" t="s">
        <v>198</v>
      </c>
      <c r="B63" s="4" t="s">
        <v>199</v>
      </c>
      <c r="C63" s="4" t="s">
        <v>200</v>
      </c>
      <c r="E63" s="4" t="s">
        <v>201</v>
      </c>
      <c r="G63" s="4" t="s">
        <v>38</v>
      </c>
      <c r="H63" s="4" t="s">
        <v>154</v>
      </c>
      <c r="I63" s="4" t="s">
        <v>16</v>
      </c>
      <c r="Q63" s="4" t="b">
        <v>1</v>
      </c>
    </row>
    <row r="64" ht="150" spans="1:17">
      <c r="A64" s="4" t="s">
        <v>202</v>
      </c>
      <c r="B64" s="4" t="s">
        <v>203</v>
      </c>
      <c r="C64" s="4" t="s">
        <v>204</v>
      </c>
      <c r="E64" s="4" t="s">
        <v>205</v>
      </c>
      <c r="G64" s="4" t="s">
        <v>38</v>
      </c>
      <c r="H64" s="4" t="s">
        <v>154</v>
      </c>
      <c r="I64" s="4" t="s">
        <v>16</v>
      </c>
      <c r="Q64" s="4" t="b">
        <v>1</v>
      </c>
    </row>
    <row r="65" ht="180" spans="1:17">
      <c r="A65" s="4" t="s">
        <v>206</v>
      </c>
      <c r="B65" s="4" t="s">
        <v>207</v>
      </c>
      <c r="C65" s="4" t="s">
        <v>208</v>
      </c>
      <c r="G65" s="4" t="s">
        <v>38</v>
      </c>
      <c r="H65" s="4" t="s">
        <v>154</v>
      </c>
      <c r="I65" s="4" t="s">
        <v>16</v>
      </c>
      <c r="Q65" s="4" t="b">
        <v>1</v>
      </c>
    </row>
    <row r="66" ht="45" spans="1:17">
      <c r="A66" s="4" t="s">
        <v>209</v>
      </c>
      <c r="B66" s="4" t="s">
        <v>210</v>
      </c>
      <c r="C66" s="4" t="s">
        <v>211</v>
      </c>
      <c r="G66" s="4" t="s">
        <v>38</v>
      </c>
      <c r="H66" s="4" t="s">
        <v>154</v>
      </c>
      <c r="I66" s="4" t="s">
        <v>16</v>
      </c>
      <c r="Q66" s="4" t="b">
        <v>1</v>
      </c>
    </row>
    <row r="67" ht="60" spans="1:17">
      <c r="A67" s="4" t="s">
        <v>212</v>
      </c>
      <c r="B67" s="4" t="s">
        <v>213</v>
      </c>
      <c r="C67" s="4" t="s">
        <v>214</v>
      </c>
      <c r="G67" s="4" t="s">
        <v>38</v>
      </c>
      <c r="H67" s="4" t="s">
        <v>154</v>
      </c>
      <c r="I67" s="4" t="s">
        <v>16</v>
      </c>
      <c r="Q67" s="4" t="b">
        <v>1</v>
      </c>
    </row>
    <row r="68" ht="75" spans="1:7">
      <c r="A68" s="6">
        <v>6.2</v>
      </c>
      <c r="B68" s="6" t="s">
        <v>215</v>
      </c>
      <c r="C68" s="4" t="s">
        <v>216</v>
      </c>
      <c r="G68" s="4" t="s">
        <v>32</v>
      </c>
    </row>
    <row r="69" ht="30" spans="1:7">
      <c r="A69" s="4" t="s">
        <v>217</v>
      </c>
      <c r="B69" s="4" t="s">
        <v>218</v>
      </c>
      <c r="C69" s="4" t="s">
        <v>219</v>
      </c>
      <c r="G69" s="4" t="s">
        <v>38</v>
      </c>
    </row>
    <row r="70" ht="30" spans="1:7">
      <c r="A70" s="4" t="s">
        <v>220</v>
      </c>
      <c r="B70" s="4" t="s">
        <v>221</v>
      </c>
      <c r="C70" s="4" t="s">
        <v>222</v>
      </c>
      <c r="G70" s="4" t="s">
        <v>38</v>
      </c>
    </row>
    <row r="71" ht="45" spans="1:7">
      <c r="A71" s="4" t="s">
        <v>223</v>
      </c>
      <c r="B71" s="4" t="s">
        <v>224</v>
      </c>
      <c r="C71" s="4" t="s">
        <v>225</v>
      </c>
      <c r="G71" s="4" t="s">
        <v>38</v>
      </c>
    </row>
    <row r="72" ht="30" spans="1:7">
      <c r="A72" s="4" t="s">
        <v>226</v>
      </c>
      <c r="B72" s="4" t="s">
        <v>227</v>
      </c>
      <c r="C72" s="4" t="s">
        <v>228</v>
      </c>
      <c r="G72" s="4" t="s">
        <v>38</v>
      </c>
    </row>
    <row r="73" ht="30" spans="1:7">
      <c r="A73" s="4" t="s">
        <v>229</v>
      </c>
      <c r="B73" s="4" t="s">
        <v>230</v>
      </c>
      <c r="C73" s="4" t="s">
        <v>231</v>
      </c>
      <c r="G73" s="4" t="s">
        <v>38</v>
      </c>
    </row>
    <row r="74" ht="30" spans="1:7">
      <c r="A74" s="4" t="s">
        <v>232</v>
      </c>
      <c r="B74" s="4" t="s">
        <v>233</v>
      </c>
      <c r="C74" s="4" t="s">
        <v>234</v>
      </c>
      <c r="G74" s="4" t="s">
        <v>38</v>
      </c>
    </row>
    <row r="75" ht="30" spans="1:25">
      <c r="A75" s="4" t="s">
        <v>235</v>
      </c>
      <c r="B75" s="4" t="s">
        <v>100</v>
      </c>
      <c r="C75" s="4" t="s">
        <v>236</v>
      </c>
      <c r="G75" s="4" t="s">
        <v>38</v>
      </c>
      <c r="H75" s="4" t="s">
        <v>102</v>
      </c>
      <c r="I75" s="4" t="s">
        <v>24</v>
      </c>
      <c r="Y75" s="4" t="b">
        <v>1</v>
      </c>
    </row>
    <row r="76" ht="45" spans="1:7">
      <c r="A76" s="4" t="s">
        <v>237</v>
      </c>
      <c r="B76" s="4" t="s">
        <v>238</v>
      </c>
      <c r="C76" s="4" t="s">
        <v>239</v>
      </c>
      <c r="G76" s="4" t="s">
        <v>38</v>
      </c>
    </row>
    <row r="77" ht="45" spans="1:7">
      <c r="A77" s="4" t="s">
        <v>240</v>
      </c>
      <c r="B77" s="4" t="s">
        <v>241</v>
      </c>
      <c r="C77" s="4" t="s">
        <v>242</v>
      </c>
      <c r="G77" s="4" t="s">
        <v>38</v>
      </c>
    </row>
    <row r="78" ht="45" spans="1:7">
      <c r="A78" s="4" t="s">
        <v>243</v>
      </c>
      <c r="B78" s="4" t="s">
        <v>244</v>
      </c>
      <c r="C78" s="4" t="s">
        <v>245</v>
      </c>
      <c r="G78" s="4" t="s">
        <v>38</v>
      </c>
    </row>
    <row r="79" ht="45" spans="1:7">
      <c r="A79" s="4" t="s">
        <v>246</v>
      </c>
      <c r="B79" s="4" t="s">
        <v>247</v>
      </c>
      <c r="C79" s="4" t="s">
        <v>248</v>
      </c>
      <c r="G79" s="4" t="s">
        <v>38</v>
      </c>
    </row>
    <row r="80" ht="45" spans="1:7">
      <c r="A80" s="4" t="s">
        <v>249</v>
      </c>
      <c r="B80" s="4" t="s">
        <v>250</v>
      </c>
      <c r="C80" s="4" t="s">
        <v>251</v>
      </c>
      <c r="G80" s="4" t="s">
        <v>38</v>
      </c>
    </row>
    <row r="81" ht="45" spans="1:7">
      <c r="A81" s="6">
        <v>6.3</v>
      </c>
      <c r="B81" s="6" t="s">
        <v>252</v>
      </c>
      <c r="C81" s="4" t="s">
        <v>253</v>
      </c>
      <c r="G81" s="4" t="s">
        <v>32</v>
      </c>
    </row>
    <row r="83" spans="1:7">
      <c r="A83" s="6">
        <v>7</v>
      </c>
      <c r="B83" s="6" t="s">
        <v>254</v>
      </c>
      <c r="G83" s="4" t="s">
        <v>28</v>
      </c>
    </row>
    <row r="84" ht="60" spans="1:22">
      <c r="A84" s="6">
        <v>7.1</v>
      </c>
      <c r="B84" s="6" t="s">
        <v>255</v>
      </c>
      <c r="C84" s="4" t="s">
        <v>256</v>
      </c>
      <c r="G84" s="4" t="s">
        <v>32</v>
      </c>
      <c r="H84" s="4" t="s">
        <v>58</v>
      </c>
      <c r="I84" s="4" t="s">
        <v>21</v>
      </c>
      <c r="V84" s="4" t="b">
        <v>1</v>
      </c>
    </row>
    <row r="85" ht="60" spans="1:7">
      <c r="A85" s="6">
        <v>7.2</v>
      </c>
      <c r="B85" s="6" t="s">
        <v>257</v>
      </c>
      <c r="E85" s="4" t="s">
        <v>258</v>
      </c>
      <c r="G85" s="4" t="s">
        <v>32</v>
      </c>
    </row>
    <row r="86" ht="45" spans="1:7">
      <c r="A86" s="4" t="s">
        <v>259</v>
      </c>
      <c r="B86" s="4" t="s">
        <v>260</v>
      </c>
      <c r="C86" s="4" t="s">
        <v>261</v>
      </c>
      <c r="G86" s="4" t="s">
        <v>38</v>
      </c>
    </row>
    <row r="87" ht="45" spans="1:7">
      <c r="A87" s="4" t="s">
        <v>262</v>
      </c>
      <c r="B87" s="4" t="s">
        <v>263</v>
      </c>
      <c r="C87" s="4" t="s">
        <v>264</v>
      </c>
      <c r="G87" s="4" t="s">
        <v>38</v>
      </c>
    </row>
    <row r="88" ht="45" spans="1:7">
      <c r="A88" s="4" t="s">
        <v>265</v>
      </c>
      <c r="B88" s="4" t="s">
        <v>266</v>
      </c>
      <c r="C88" s="4" t="s">
        <v>267</v>
      </c>
      <c r="G88" s="4" t="s">
        <v>38</v>
      </c>
    </row>
    <row r="89" ht="30" spans="1:25">
      <c r="A89" s="4" t="s">
        <v>268</v>
      </c>
      <c r="B89" s="4" t="s">
        <v>269</v>
      </c>
      <c r="C89" s="4" t="s">
        <v>270</v>
      </c>
      <c r="G89" s="4" t="s">
        <v>38</v>
      </c>
      <c r="H89" s="4" t="s">
        <v>102</v>
      </c>
      <c r="I89" s="4" t="s">
        <v>24</v>
      </c>
      <c r="Y89" s="4" t="b">
        <v>1</v>
      </c>
    </row>
    <row r="90" spans="1:7">
      <c r="A90" s="6">
        <v>7.3</v>
      </c>
      <c r="B90" s="6" t="s">
        <v>271</v>
      </c>
      <c r="G90" s="4" t="s">
        <v>32</v>
      </c>
    </row>
    <row r="91" ht="30" spans="1:7">
      <c r="A91" s="4" t="s">
        <v>272</v>
      </c>
      <c r="B91" s="4" t="s">
        <v>273</v>
      </c>
      <c r="C91" s="4" t="s">
        <v>274</v>
      </c>
      <c r="G91" s="4" t="s">
        <v>38</v>
      </c>
    </row>
    <row r="92" ht="60" spans="1:7">
      <c r="A92" s="4" t="s">
        <v>275</v>
      </c>
      <c r="B92" s="4" t="s">
        <v>276</v>
      </c>
      <c r="C92" s="4" t="s">
        <v>277</v>
      </c>
      <c r="G92" s="4" t="s">
        <v>38</v>
      </c>
    </row>
    <row r="93" ht="45" spans="1:7">
      <c r="A93" s="4" t="s">
        <v>278</v>
      </c>
      <c r="B93" s="4" t="s">
        <v>279</v>
      </c>
      <c r="C93" s="4" t="s">
        <v>280</v>
      </c>
      <c r="G93" s="4" t="s">
        <v>38</v>
      </c>
    </row>
    <row r="94" spans="1:7">
      <c r="A94" s="6">
        <v>7.4</v>
      </c>
      <c r="B94" s="6" t="s">
        <v>281</v>
      </c>
      <c r="G94" s="4" t="s">
        <v>32</v>
      </c>
    </row>
    <row r="95" ht="45" spans="1:7">
      <c r="A95" s="4" t="s">
        <v>282</v>
      </c>
      <c r="B95" s="4" t="s">
        <v>283</v>
      </c>
      <c r="C95" s="4" t="s">
        <v>284</v>
      </c>
      <c r="G95" s="4" t="s">
        <v>38</v>
      </c>
    </row>
    <row r="96" ht="45" spans="1:7">
      <c r="A96" s="4" t="s">
        <v>285</v>
      </c>
      <c r="B96" s="4" t="s">
        <v>286</v>
      </c>
      <c r="C96" s="4" t="s">
        <v>287</v>
      </c>
      <c r="G96" s="4" t="s">
        <v>38</v>
      </c>
    </row>
    <row r="97" ht="60" spans="1:7">
      <c r="A97" s="4" t="s">
        <v>288</v>
      </c>
      <c r="B97" s="4" t="s">
        <v>289</v>
      </c>
      <c r="C97" s="4" t="s">
        <v>290</v>
      </c>
      <c r="G97" s="4" t="s">
        <v>38</v>
      </c>
    </row>
    <row r="98" ht="45" spans="1:7">
      <c r="A98" s="4" t="s">
        <v>291</v>
      </c>
      <c r="B98" s="4" t="s">
        <v>292</v>
      </c>
      <c r="C98" s="4" t="s">
        <v>293</v>
      </c>
      <c r="G98" s="4" t="s">
        <v>38</v>
      </c>
    </row>
    <row r="99" spans="1:7">
      <c r="A99" s="6">
        <v>7.5</v>
      </c>
      <c r="B99" s="6" t="s">
        <v>294</v>
      </c>
      <c r="G99" s="4" t="s">
        <v>32</v>
      </c>
    </row>
    <row r="100" ht="180" spans="1:7">
      <c r="A100" s="6" t="s">
        <v>295</v>
      </c>
      <c r="B100" s="6" t="s">
        <v>121</v>
      </c>
      <c r="E100" s="4" t="s">
        <v>296</v>
      </c>
      <c r="G100" s="4" t="s">
        <v>38</v>
      </c>
    </row>
    <row r="101" ht="45" spans="1:25">
      <c r="A101" s="9" t="s">
        <v>297</v>
      </c>
      <c r="B101" s="4" t="s">
        <v>298</v>
      </c>
      <c r="C101" s="4" t="s">
        <v>299</v>
      </c>
      <c r="G101" s="4" t="s">
        <v>38</v>
      </c>
      <c r="H101" s="4" t="s">
        <v>102</v>
      </c>
      <c r="I101" s="4" t="s">
        <v>24</v>
      </c>
      <c r="Y101" s="4" t="b">
        <v>1</v>
      </c>
    </row>
    <row r="102" ht="75" spans="1:25">
      <c r="A102" s="9" t="s">
        <v>300</v>
      </c>
      <c r="B102" s="4" t="s">
        <v>301</v>
      </c>
      <c r="C102" s="4" t="s">
        <v>302</v>
      </c>
      <c r="G102" s="4" t="s">
        <v>38</v>
      </c>
      <c r="H102" s="4" t="s">
        <v>102</v>
      </c>
      <c r="I102" s="4" t="s">
        <v>24</v>
      </c>
      <c r="Y102" s="4" t="b">
        <v>1</v>
      </c>
    </row>
    <row r="103" spans="1:7">
      <c r="A103" s="6" t="s">
        <v>303</v>
      </c>
      <c r="B103" s="6" t="s">
        <v>304</v>
      </c>
      <c r="G103" s="4" t="s">
        <v>38</v>
      </c>
    </row>
    <row r="104" ht="60" spans="1:25">
      <c r="A104" s="9" t="s">
        <v>305</v>
      </c>
      <c r="B104" s="4" t="s">
        <v>306</v>
      </c>
      <c r="C104" s="4" t="s">
        <v>307</v>
      </c>
      <c r="G104" s="4" t="s">
        <v>38</v>
      </c>
      <c r="H104" s="4" t="s">
        <v>102</v>
      </c>
      <c r="I104" s="4" t="s">
        <v>24</v>
      </c>
      <c r="Y104" s="4" t="b">
        <v>1</v>
      </c>
    </row>
    <row r="105" ht="60" spans="1:25">
      <c r="A105" s="9" t="s">
        <v>308</v>
      </c>
      <c r="B105" s="4" t="s">
        <v>309</v>
      </c>
      <c r="C105" s="4" t="s">
        <v>310</v>
      </c>
      <c r="G105" s="4" t="s">
        <v>38</v>
      </c>
      <c r="H105" s="4" t="s">
        <v>102</v>
      </c>
      <c r="I105" s="4" t="s">
        <v>24</v>
      </c>
      <c r="Y105" s="4" t="b">
        <v>1</v>
      </c>
    </row>
    <row r="106" ht="45" spans="1:25">
      <c r="A106" s="9" t="s">
        <v>311</v>
      </c>
      <c r="B106" s="4" t="s">
        <v>312</v>
      </c>
      <c r="C106" s="4" t="s">
        <v>313</v>
      </c>
      <c r="G106" s="4" t="s">
        <v>38</v>
      </c>
      <c r="H106" s="4" t="s">
        <v>102</v>
      </c>
      <c r="I106" s="4" t="s">
        <v>24</v>
      </c>
      <c r="Y106" s="4" t="b">
        <v>1</v>
      </c>
    </row>
    <row r="107" ht="60" spans="1:7">
      <c r="A107" s="6" t="s">
        <v>314</v>
      </c>
      <c r="B107" s="6" t="s">
        <v>315</v>
      </c>
      <c r="C107" s="4" t="s">
        <v>316</v>
      </c>
      <c r="E107" s="4" t="s">
        <v>317</v>
      </c>
      <c r="G107" s="4" t="s">
        <v>38</v>
      </c>
    </row>
    <row r="108" ht="60" spans="1:25">
      <c r="A108" s="4" t="s">
        <v>318</v>
      </c>
      <c r="B108" s="4" t="s">
        <v>319</v>
      </c>
      <c r="C108" s="4" t="s">
        <v>320</v>
      </c>
      <c r="G108" s="4" t="s">
        <v>38</v>
      </c>
      <c r="H108" s="4" t="s">
        <v>102</v>
      </c>
      <c r="I108" s="4" t="s">
        <v>24</v>
      </c>
      <c r="Y108" s="4" t="b">
        <v>1</v>
      </c>
    </row>
    <row r="109" ht="60" spans="1:25">
      <c r="A109" s="4" t="s">
        <v>321</v>
      </c>
      <c r="B109" s="4" t="s">
        <v>322</v>
      </c>
      <c r="C109" s="4" t="s">
        <v>323</v>
      </c>
      <c r="G109" s="4" t="s">
        <v>38</v>
      </c>
      <c r="H109" s="4" t="s">
        <v>102</v>
      </c>
      <c r="I109" s="4" t="s">
        <v>24</v>
      </c>
      <c r="Y109" s="4" t="b">
        <v>1</v>
      </c>
    </row>
    <row r="110" ht="45" spans="1:25">
      <c r="A110" s="4" t="s">
        <v>324</v>
      </c>
      <c r="B110" s="4" t="s">
        <v>325</v>
      </c>
      <c r="C110" s="4" t="s">
        <v>326</v>
      </c>
      <c r="G110" s="4" t="s">
        <v>38</v>
      </c>
      <c r="H110" s="4" t="s">
        <v>102</v>
      </c>
      <c r="I110" s="4" t="s">
        <v>24</v>
      </c>
      <c r="Y110" s="4" t="b">
        <v>1</v>
      </c>
    </row>
    <row r="111" ht="60" spans="1:25">
      <c r="A111" s="4" t="s">
        <v>327</v>
      </c>
      <c r="B111" s="4" t="s">
        <v>328</v>
      </c>
      <c r="C111" s="4" t="s">
        <v>329</v>
      </c>
      <c r="G111" s="4" t="s">
        <v>38</v>
      </c>
      <c r="H111" s="4" t="s">
        <v>102</v>
      </c>
      <c r="I111" s="4" t="s">
        <v>24</v>
      </c>
      <c r="Y111" s="4" t="b">
        <v>1</v>
      </c>
    </row>
    <row r="112" ht="45" spans="1:25">
      <c r="A112" s="4" t="s">
        <v>330</v>
      </c>
      <c r="B112" s="4" t="s">
        <v>331</v>
      </c>
      <c r="C112" s="4" t="s">
        <v>332</v>
      </c>
      <c r="G112" s="4" t="s">
        <v>38</v>
      </c>
      <c r="H112" s="4" t="s">
        <v>102</v>
      </c>
      <c r="I112" s="4" t="s">
        <v>24</v>
      </c>
      <c r="Y112" s="4" t="b">
        <v>1</v>
      </c>
    </row>
    <row r="113" ht="45" spans="1:25">
      <c r="A113" s="4" t="s">
        <v>333</v>
      </c>
      <c r="B113" s="4" t="s">
        <v>334</v>
      </c>
      <c r="C113" s="4" t="s">
        <v>335</v>
      </c>
      <c r="G113" s="4" t="s">
        <v>38</v>
      </c>
      <c r="H113" s="4" t="s">
        <v>102</v>
      </c>
      <c r="I113" s="4" t="s">
        <v>24</v>
      </c>
      <c r="Y113" s="4" t="b">
        <v>1</v>
      </c>
    </row>
    <row r="115" spans="1:7">
      <c r="A115" s="6">
        <v>8</v>
      </c>
      <c r="B115" s="6" t="s">
        <v>336</v>
      </c>
      <c r="G115" s="4" t="s">
        <v>28</v>
      </c>
    </row>
    <row r="116" ht="315" spans="1:25">
      <c r="A116" s="6">
        <v>8.1</v>
      </c>
      <c r="B116" s="6" t="s">
        <v>337</v>
      </c>
      <c r="C116" s="4" t="s">
        <v>338</v>
      </c>
      <c r="G116" s="4" t="s">
        <v>32</v>
      </c>
      <c r="H116" s="4" t="s">
        <v>102</v>
      </c>
      <c r="I116" s="4" t="s">
        <v>24</v>
      </c>
      <c r="Y116" s="4" t="b">
        <v>1</v>
      </c>
    </row>
    <row r="117" ht="105" spans="1:25">
      <c r="A117" s="6">
        <v>8.2</v>
      </c>
      <c r="B117" s="6" t="s">
        <v>146</v>
      </c>
      <c r="C117" s="4" t="s">
        <v>339</v>
      </c>
      <c r="G117" s="4" t="s">
        <v>32</v>
      </c>
      <c r="H117" s="4" t="s">
        <v>340</v>
      </c>
      <c r="I117" s="4" t="s">
        <v>341</v>
      </c>
      <c r="Q117" s="4" t="b">
        <v>1</v>
      </c>
      <c r="Y117" s="4" t="b">
        <v>1</v>
      </c>
    </row>
    <row r="118" ht="75" spans="1:25">
      <c r="A118" s="6">
        <v>8.3</v>
      </c>
      <c r="B118" s="6" t="s">
        <v>192</v>
      </c>
      <c r="C118" s="4" t="s">
        <v>342</v>
      </c>
      <c r="G118" s="4" t="s">
        <v>32</v>
      </c>
      <c r="H118" s="4" t="s">
        <v>340</v>
      </c>
      <c r="I118" s="4" t="s">
        <v>341</v>
      </c>
      <c r="Q118" s="4" t="b">
        <v>1</v>
      </c>
      <c r="Y118" s="4" t="b">
        <v>1</v>
      </c>
    </row>
    <row r="120" spans="1:7">
      <c r="A120" s="6">
        <v>9</v>
      </c>
      <c r="B120" s="6" t="s">
        <v>343</v>
      </c>
      <c r="G120" s="4" t="s">
        <v>28</v>
      </c>
    </row>
    <row r="121" ht="90" spans="1:7">
      <c r="A121" s="6">
        <v>9.1</v>
      </c>
      <c r="B121" s="6" t="s">
        <v>344</v>
      </c>
      <c r="C121" s="4" t="s">
        <v>345</v>
      </c>
      <c r="G121" s="4" t="s">
        <v>32</v>
      </c>
    </row>
    <row r="122" ht="45" spans="1:7">
      <c r="A122" s="4" t="s">
        <v>346</v>
      </c>
      <c r="B122" s="4" t="s">
        <v>347</v>
      </c>
      <c r="C122" s="4" t="s">
        <v>348</v>
      </c>
      <c r="G122" s="4" t="s">
        <v>38</v>
      </c>
    </row>
    <row r="123" ht="75" spans="1:7">
      <c r="A123" s="4" t="s">
        <v>349</v>
      </c>
      <c r="B123" s="4" t="s">
        <v>350</v>
      </c>
      <c r="C123" s="4" t="s">
        <v>351</v>
      </c>
      <c r="G123" s="4" t="s">
        <v>38</v>
      </c>
    </row>
    <row r="124" ht="30" spans="1:7">
      <c r="A124" s="4" t="s">
        <v>352</v>
      </c>
      <c r="B124" s="4" t="s">
        <v>353</v>
      </c>
      <c r="C124" s="4" t="s">
        <v>354</v>
      </c>
      <c r="G124" s="4" t="s">
        <v>38</v>
      </c>
    </row>
    <row r="125" ht="30" spans="1:7">
      <c r="A125" s="4" t="s">
        <v>355</v>
      </c>
      <c r="B125" s="4" t="s">
        <v>356</v>
      </c>
      <c r="C125" s="4" t="s">
        <v>357</v>
      </c>
      <c r="G125" s="4" t="s">
        <v>38</v>
      </c>
    </row>
    <row r="126" ht="45" spans="1:7">
      <c r="A126" s="4" t="s">
        <v>358</v>
      </c>
      <c r="B126" s="4" t="s">
        <v>359</v>
      </c>
      <c r="C126" s="4" t="s">
        <v>360</v>
      </c>
      <c r="G126" s="4" t="s">
        <v>38</v>
      </c>
    </row>
    <row r="127" ht="30" spans="1:7">
      <c r="A127" s="4" t="s">
        <v>361</v>
      </c>
      <c r="B127" s="4" t="s">
        <v>362</v>
      </c>
      <c r="C127" s="4" t="s">
        <v>363</v>
      </c>
      <c r="G127" s="4" t="s">
        <v>38</v>
      </c>
    </row>
    <row r="128" spans="1:7">
      <c r="A128" s="6">
        <v>9.2</v>
      </c>
      <c r="B128" s="6" t="s">
        <v>364</v>
      </c>
      <c r="G128" s="4" t="s">
        <v>32</v>
      </c>
    </row>
    <row r="129" spans="1:7">
      <c r="A129" s="6" t="s">
        <v>365</v>
      </c>
      <c r="B129" s="6" t="s">
        <v>121</v>
      </c>
      <c r="G129" s="4" t="s">
        <v>38</v>
      </c>
    </row>
    <row r="130" ht="45" spans="1:7">
      <c r="A130" s="4" t="s">
        <v>366</v>
      </c>
      <c r="B130" s="4" t="s">
        <v>367</v>
      </c>
      <c r="C130" s="4" t="s">
        <v>368</v>
      </c>
      <c r="G130" s="4" t="s">
        <v>38</v>
      </c>
    </row>
    <row r="131" ht="75" spans="1:19">
      <c r="A131" s="4" t="s">
        <v>369</v>
      </c>
      <c r="B131" s="4" t="s">
        <v>370</v>
      </c>
      <c r="C131" s="4" t="s">
        <v>371</v>
      </c>
      <c r="G131" s="4" t="s">
        <v>38</v>
      </c>
      <c r="H131" s="4" t="s">
        <v>372</v>
      </c>
      <c r="I131" s="4" t="s">
        <v>18</v>
      </c>
      <c r="S131" s="4" t="b">
        <v>1</v>
      </c>
    </row>
    <row r="132" ht="60" spans="1:19">
      <c r="A132" s="4" t="s">
        <v>373</v>
      </c>
      <c r="B132" s="4" t="s">
        <v>374</v>
      </c>
      <c r="C132" s="4" t="s">
        <v>375</v>
      </c>
      <c r="G132" s="4" t="s">
        <v>38</v>
      </c>
      <c r="H132" s="4" t="s">
        <v>372</v>
      </c>
      <c r="I132" s="4" t="s">
        <v>18</v>
      </c>
      <c r="S132" s="4" t="b">
        <v>1</v>
      </c>
    </row>
    <row r="133" ht="60" spans="1:19">
      <c r="A133" s="4" t="s">
        <v>376</v>
      </c>
      <c r="B133" s="4" t="s">
        <v>377</v>
      </c>
      <c r="C133" s="4" t="s">
        <v>378</v>
      </c>
      <c r="G133" s="4" t="s">
        <v>38</v>
      </c>
      <c r="H133" s="4" t="s">
        <v>372</v>
      </c>
      <c r="I133" s="4" t="s">
        <v>18</v>
      </c>
      <c r="S133" s="4" t="b">
        <v>1</v>
      </c>
    </row>
    <row r="134" ht="180" spans="1:7">
      <c r="A134" s="6" t="s">
        <v>379</v>
      </c>
      <c r="B134" s="6" t="s">
        <v>380</v>
      </c>
      <c r="C134" s="4" t="s">
        <v>381</v>
      </c>
      <c r="G134" s="4" t="s">
        <v>38</v>
      </c>
    </row>
    <row r="135" ht="30" spans="1:19">
      <c r="A135" s="4" t="s">
        <v>382</v>
      </c>
      <c r="B135" s="4" t="s">
        <v>383</v>
      </c>
      <c r="C135" s="4" t="s">
        <v>384</v>
      </c>
      <c r="G135" s="4" t="s">
        <v>38</v>
      </c>
      <c r="H135" s="4" t="s">
        <v>372</v>
      </c>
      <c r="I135" s="4" t="s">
        <v>18</v>
      </c>
      <c r="S135" s="4" t="b">
        <v>1</v>
      </c>
    </row>
    <row r="136" ht="45" spans="1:19">
      <c r="A136" s="4" t="s">
        <v>385</v>
      </c>
      <c r="B136" s="4" t="s">
        <v>386</v>
      </c>
      <c r="C136" s="4" t="s">
        <v>387</v>
      </c>
      <c r="G136" s="4" t="s">
        <v>38</v>
      </c>
      <c r="H136" s="4" t="s">
        <v>372</v>
      </c>
      <c r="I136" s="4" t="s">
        <v>18</v>
      </c>
      <c r="S136" s="4" t="b">
        <v>1</v>
      </c>
    </row>
    <row r="137" ht="30" spans="1:19">
      <c r="A137" s="4" t="s">
        <v>388</v>
      </c>
      <c r="B137" s="4" t="s">
        <v>389</v>
      </c>
      <c r="C137" s="4" t="s">
        <v>390</v>
      </c>
      <c r="G137" s="4" t="s">
        <v>38</v>
      </c>
      <c r="H137" s="4" t="s">
        <v>372</v>
      </c>
      <c r="I137" s="4" t="s">
        <v>18</v>
      </c>
      <c r="S137" s="4" t="b">
        <v>1</v>
      </c>
    </row>
    <row r="138" spans="1:7">
      <c r="A138" s="6">
        <v>9.3</v>
      </c>
      <c r="B138" s="6" t="s">
        <v>391</v>
      </c>
      <c r="G138" s="4" t="s">
        <v>32</v>
      </c>
    </row>
    <row r="139" ht="60" spans="1:21">
      <c r="A139" s="6" t="s">
        <v>392</v>
      </c>
      <c r="B139" s="6" t="s">
        <v>121</v>
      </c>
      <c r="C139" s="4" t="s">
        <v>393</v>
      </c>
      <c r="G139" s="4" t="s">
        <v>38</v>
      </c>
      <c r="H139" s="4" t="s">
        <v>394</v>
      </c>
      <c r="I139" s="4" t="s">
        <v>395</v>
      </c>
      <c r="T139" s="4" t="b">
        <v>1</v>
      </c>
      <c r="U139" s="4" t="b">
        <v>1</v>
      </c>
    </row>
    <row r="140" spans="1:7">
      <c r="A140" s="6" t="s">
        <v>396</v>
      </c>
      <c r="B140" s="6" t="s">
        <v>397</v>
      </c>
      <c r="G140" s="4" t="s">
        <v>38</v>
      </c>
    </row>
    <row r="141" ht="30" spans="1:21">
      <c r="A141" s="4" t="s">
        <v>398</v>
      </c>
      <c r="B141" s="4" t="s">
        <v>399</v>
      </c>
      <c r="C141" s="4" t="s">
        <v>400</v>
      </c>
      <c r="G141" s="4" t="s">
        <v>38</v>
      </c>
      <c r="H141" s="4" t="s">
        <v>394</v>
      </c>
      <c r="I141" s="4" t="s">
        <v>395</v>
      </c>
      <c r="T141" s="4" t="b">
        <v>1</v>
      </c>
      <c r="U141" s="4" t="b">
        <v>1</v>
      </c>
    </row>
    <row r="142" ht="45" spans="1:21">
      <c r="A142" s="4" t="s">
        <v>401</v>
      </c>
      <c r="B142" s="4" t="s">
        <v>402</v>
      </c>
      <c r="C142" s="4" t="s">
        <v>403</v>
      </c>
      <c r="G142" s="4" t="s">
        <v>38</v>
      </c>
      <c r="H142" s="4" t="s">
        <v>394</v>
      </c>
      <c r="I142" s="4" t="s">
        <v>395</v>
      </c>
      <c r="T142" s="4" t="b">
        <v>1</v>
      </c>
      <c r="U142" s="4" t="b">
        <v>1</v>
      </c>
    </row>
    <row r="143" ht="60" spans="1:21">
      <c r="A143" s="4" t="s">
        <v>404</v>
      </c>
      <c r="B143" s="4" t="s">
        <v>405</v>
      </c>
      <c r="C143" s="4" t="s">
        <v>406</v>
      </c>
      <c r="G143" s="4" t="s">
        <v>38</v>
      </c>
      <c r="H143" s="4" t="s">
        <v>394</v>
      </c>
      <c r="I143" s="4" t="s">
        <v>395</v>
      </c>
      <c r="T143" s="4" t="b">
        <v>1</v>
      </c>
      <c r="U143" s="4" t="b">
        <v>1</v>
      </c>
    </row>
    <row r="144" ht="45" spans="1:7">
      <c r="A144" s="4" t="s">
        <v>407</v>
      </c>
      <c r="B144" s="4" t="s">
        <v>408</v>
      </c>
      <c r="C144" s="4" t="s">
        <v>409</v>
      </c>
      <c r="G144" s="4" t="s">
        <v>38</v>
      </c>
    </row>
    <row r="145" ht="45" spans="1:21">
      <c r="A145" s="4" t="s">
        <v>410</v>
      </c>
      <c r="B145" s="5" t="s">
        <v>411</v>
      </c>
      <c r="C145" s="4" t="s">
        <v>412</v>
      </c>
      <c r="G145" s="4" t="s">
        <v>38</v>
      </c>
      <c r="H145" s="4" t="s">
        <v>413</v>
      </c>
      <c r="I145" s="4" t="s">
        <v>414</v>
      </c>
      <c r="R145" s="4" t="b">
        <v>1</v>
      </c>
      <c r="T145" s="4" t="b">
        <v>1</v>
      </c>
      <c r="U145" s="4" t="b">
        <v>1</v>
      </c>
    </row>
    <row r="146" ht="45" spans="1:21">
      <c r="A146" s="4" t="s">
        <v>415</v>
      </c>
      <c r="B146" s="4" t="s">
        <v>416</v>
      </c>
      <c r="C146" s="4" t="s">
        <v>417</v>
      </c>
      <c r="G146" s="4" t="s">
        <v>38</v>
      </c>
      <c r="H146" s="4" t="s">
        <v>394</v>
      </c>
      <c r="I146" s="4" t="s">
        <v>395</v>
      </c>
      <c r="T146" s="4" t="b">
        <v>1</v>
      </c>
      <c r="U146" s="4" t="b">
        <v>1</v>
      </c>
    </row>
    <row r="147" ht="45" spans="1:21">
      <c r="A147" s="4" t="s">
        <v>418</v>
      </c>
      <c r="B147" s="4" t="s">
        <v>419</v>
      </c>
      <c r="C147" s="4" t="s">
        <v>420</v>
      </c>
      <c r="G147" s="4" t="s">
        <v>38</v>
      </c>
      <c r="H147" s="4" t="s">
        <v>421</v>
      </c>
      <c r="I147" s="4" t="s">
        <v>422</v>
      </c>
      <c r="S147" s="4" t="b">
        <v>1</v>
      </c>
      <c r="T147" s="4" t="b">
        <v>1</v>
      </c>
      <c r="U147" s="4" t="b">
        <v>1</v>
      </c>
    </row>
    <row r="148" ht="45" spans="1:21">
      <c r="A148" s="4" t="s">
        <v>423</v>
      </c>
      <c r="B148" s="4" t="s">
        <v>424</v>
      </c>
      <c r="C148" s="4" t="s">
        <v>425</v>
      </c>
      <c r="G148" s="4" t="s">
        <v>38</v>
      </c>
      <c r="H148" s="4" t="s">
        <v>394</v>
      </c>
      <c r="I148" s="4" t="s">
        <v>395</v>
      </c>
      <c r="T148" s="4" t="b">
        <v>1</v>
      </c>
      <c r="U148" s="4" t="b">
        <v>1</v>
      </c>
    </row>
    <row r="149" ht="30" spans="1:21">
      <c r="A149" s="4" t="s">
        <v>426</v>
      </c>
      <c r="B149" s="4" t="s">
        <v>427</v>
      </c>
      <c r="C149" s="4" t="s">
        <v>428</v>
      </c>
      <c r="G149" s="4" t="s">
        <v>38</v>
      </c>
      <c r="H149" s="4" t="s">
        <v>394</v>
      </c>
      <c r="I149" s="4" t="s">
        <v>395</v>
      </c>
      <c r="T149" s="4" t="b">
        <v>1</v>
      </c>
      <c r="U149" s="4" t="b">
        <v>1</v>
      </c>
    </row>
    <row r="150" ht="45" spans="1:21">
      <c r="A150" s="4" t="s">
        <v>429</v>
      </c>
      <c r="B150" s="4" t="s">
        <v>430</v>
      </c>
      <c r="C150" s="4" t="s">
        <v>431</v>
      </c>
      <c r="G150" s="4" t="s">
        <v>38</v>
      </c>
      <c r="H150" s="4" t="s">
        <v>432</v>
      </c>
      <c r="I150" s="4" t="s">
        <v>433</v>
      </c>
      <c r="Q150" s="4" t="b">
        <v>1</v>
      </c>
      <c r="T150" s="4" t="b">
        <v>1</v>
      </c>
      <c r="U150" s="4" t="b">
        <v>1</v>
      </c>
    </row>
    <row r="151" ht="45" spans="1:22">
      <c r="A151" s="4" t="s">
        <v>434</v>
      </c>
      <c r="B151" s="4" t="s">
        <v>435</v>
      </c>
      <c r="C151" s="4" t="s">
        <v>436</v>
      </c>
      <c r="G151" s="4" t="s">
        <v>38</v>
      </c>
      <c r="H151" s="4" t="s">
        <v>437</v>
      </c>
      <c r="I151" s="4" t="s">
        <v>438</v>
      </c>
      <c r="T151" s="4" t="b">
        <v>1</v>
      </c>
      <c r="U151" s="4" t="b">
        <v>1</v>
      </c>
      <c r="V151" s="4" t="b">
        <v>1</v>
      </c>
    </row>
    <row r="152" ht="105" spans="1:25">
      <c r="A152" s="6" t="s">
        <v>439</v>
      </c>
      <c r="B152" s="6" t="s">
        <v>440</v>
      </c>
      <c r="C152" s="4" t="s">
        <v>441</v>
      </c>
      <c r="G152" s="4" t="s">
        <v>38</v>
      </c>
      <c r="H152" s="4" t="s">
        <v>442</v>
      </c>
      <c r="I152" s="4" t="s">
        <v>443</v>
      </c>
      <c r="T152" s="4" t="b">
        <v>1</v>
      </c>
      <c r="U152" s="4" t="b">
        <v>1</v>
      </c>
      <c r="V152" s="4" t="b">
        <v>1</v>
      </c>
      <c r="Y152" s="4" t="b">
        <v>1</v>
      </c>
    </row>
    <row r="154" spans="1:7">
      <c r="A154" s="6">
        <v>10</v>
      </c>
      <c r="B154" s="6" t="s">
        <v>444</v>
      </c>
      <c r="G154" s="4" t="s">
        <v>28</v>
      </c>
    </row>
    <row r="155" ht="45" spans="1:22">
      <c r="A155" s="6">
        <v>10.1</v>
      </c>
      <c r="B155" s="6" t="s">
        <v>445</v>
      </c>
      <c r="C155" s="4" t="s">
        <v>446</v>
      </c>
      <c r="G155" s="4" t="s">
        <v>32</v>
      </c>
      <c r="H155" s="4" t="s">
        <v>58</v>
      </c>
      <c r="I155" s="4" t="s">
        <v>21</v>
      </c>
      <c r="V155" s="4" t="b">
        <v>1</v>
      </c>
    </row>
    <row r="156" ht="30" spans="1:7">
      <c r="A156" s="6">
        <v>10.2</v>
      </c>
      <c r="B156" s="6" t="s">
        <v>447</v>
      </c>
      <c r="C156" s="4" t="s">
        <v>448</v>
      </c>
      <c r="G156" s="4" t="s">
        <v>32</v>
      </c>
    </row>
    <row r="157" ht="30" spans="1:7">
      <c r="A157" s="4" t="s">
        <v>449</v>
      </c>
      <c r="B157" s="4" t="s">
        <v>450</v>
      </c>
      <c r="C157" s="4" t="s">
        <v>451</v>
      </c>
      <c r="G157" s="4" t="s">
        <v>38</v>
      </c>
    </row>
    <row r="158" ht="45" spans="1:22">
      <c r="A158" s="4" t="s">
        <v>452</v>
      </c>
      <c r="B158" s="4" t="s">
        <v>453</v>
      </c>
      <c r="C158" s="4" t="s">
        <v>454</v>
      </c>
      <c r="G158" s="4" t="s">
        <v>38</v>
      </c>
      <c r="H158" s="4" t="s">
        <v>58</v>
      </c>
      <c r="I158" s="4" t="s">
        <v>21</v>
      </c>
      <c r="V158" s="4" t="b">
        <v>1</v>
      </c>
    </row>
    <row r="159" ht="45" spans="1:22">
      <c r="A159" s="4" t="s">
        <v>455</v>
      </c>
      <c r="B159" s="4" t="s">
        <v>456</v>
      </c>
      <c r="C159" s="4" t="s">
        <v>457</v>
      </c>
      <c r="G159" s="4" t="s">
        <v>38</v>
      </c>
      <c r="H159" s="4" t="s">
        <v>58</v>
      </c>
      <c r="I159" s="4" t="s">
        <v>21</v>
      </c>
      <c r="V159" s="4" t="b">
        <v>1</v>
      </c>
    </row>
    <row r="160" ht="60" spans="1:7">
      <c r="A160" s="4" t="s">
        <v>458</v>
      </c>
      <c r="B160" s="4" t="s">
        <v>459</v>
      </c>
      <c r="C160" s="4" t="s">
        <v>460</v>
      </c>
      <c r="G160" s="4" t="s">
        <v>38</v>
      </c>
    </row>
    <row r="161" ht="60" spans="1:22">
      <c r="A161" s="4" t="s">
        <v>461</v>
      </c>
      <c r="B161" s="4" t="s">
        <v>462</v>
      </c>
      <c r="C161" s="4" t="s">
        <v>463</v>
      </c>
      <c r="G161" s="4" t="s">
        <v>38</v>
      </c>
      <c r="H161" s="4" t="s">
        <v>58</v>
      </c>
      <c r="I161" s="4" t="s">
        <v>21</v>
      </c>
      <c r="V161" s="4" t="b">
        <v>1</v>
      </c>
    </row>
    <row r="162" ht="75" spans="1:22">
      <c r="A162" s="4" t="s">
        <v>464</v>
      </c>
      <c r="B162" s="4" t="s">
        <v>465</v>
      </c>
      <c r="C162" s="4" t="s">
        <v>466</v>
      </c>
      <c r="G162" s="4" t="s">
        <v>38</v>
      </c>
      <c r="H162" s="4" t="s">
        <v>58</v>
      </c>
      <c r="I162" s="4" t="s">
        <v>21</v>
      </c>
      <c r="V162" s="4" t="b">
        <v>1</v>
      </c>
    </row>
    <row r="163" ht="75" spans="1:22">
      <c r="A163" s="4" t="s">
        <v>467</v>
      </c>
      <c r="B163" s="4" t="s">
        <v>468</v>
      </c>
      <c r="C163" s="4" t="s">
        <v>469</v>
      </c>
      <c r="G163" s="4" t="s">
        <v>38</v>
      </c>
      <c r="H163" s="4" t="s">
        <v>58</v>
      </c>
      <c r="I163" s="4" t="s">
        <v>21</v>
      </c>
      <c r="V163" s="4" t="b">
        <v>1</v>
      </c>
    </row>
    <row r="164" ht="30" spans="1:22">
      <c r="A164" s="4" t="s">
        <v>470</v>
      </c>
      <c r="B164" s="4" t="s">
        <v>471</v>
      </c>
      <c r="C164" s="4" t="s">
        <v>472</v>
      </c>
      <c r="G164" s="4" t="s">
        <v>38</v>
      </c>
      <c r="H164" s="4" t="s">
        <v>58</v>
      </c>
      <c r="I164" s="4" t="s">
        <v>21</v>
      </c>
      <c r="V164" s="4" t="b">
        <v>1</v>
      </c>
    </row>
    <row r="165" ht="30" spans="1:22">
      <c r="A165" s="4" t="s">
        <v>473</v>
      </c>
      <c r="B165" s="4" t="s">
        <v>474</v>
      </c>
      <c r="C165" s="4" t="s">
        <v>475</v>
      </c>
      <c r="G165" s="4" t="s">
        <v>38</v>
      </c>
      <c r="H165" s="4" t="s">
        <v>58</v>
      </c>
      <c r="I165" s="4" t="s">
        <v>21</v>
      </c>
      <c r="V165" s="4" t="b">
        <v>1</v>
      </c>
    </row>
    <row r="166" ht="45" spans="1:22">
      <c r="A166" s="4" t="s">
        <v>476</v>
      </c>
      <c r="B166" s="4" t="s">
        <v>477</v>
      </c>
      <c r="C166" s="4" t="s">
        <v>478</v>
      </c>
      <c r="G166" s="4" t="s">
        <v>38</v>
      </c>
      <c r="H166" s="4" t="s">
        <v>58</v>
      </c>
      <c r="I166" s="4" t="s">
        <v>21</v>
      </c>
      <c r="V166" s="4" t="b">
        <v>1</v>
      </c>
    </row>
    <row r="167" ht="45" spans="1:25">
      <c r="A167" s="4" t="s">
        <v>479</v>
      </c>
      <c r="B167" s="4" t="s">
        <v>480</v>
      </c>
      <c r="C167" s="4" t="s">
        <v>481</v>
      </c>
      <c r="G167" s="4" t="s">
        <v>38</v>
      </c>
      <c r="H167" s="4" t="s">
        <v>482</v>
      </c>
      <c r="I167" s="4" t="s">
        <v>483</v>
      </c>
      <c r="V167" s="4" t="b">
        <v>1</v>
      </c>
      <c r="Y167" s="4" t="b">
        <v>1</v>
      </c>
    </row>
    <row r="168" ht="30" spans="1:25">
      <c r="A168" s="4" t="s">
        <v>484</v>
      </c>
      <c r="B168" s="4" t="s">
        <v>485</v>
      </c>
      <c r="C168" s="4" t="s">
        <v>486</v>
      </c>
      <c r="G168" s="4" t="s">
        <v>38</v>
      </c>
      <c r="H168" s="4" t="s">
        <v>482</v>
      </c>
      <c r="I168" s="4" t="s">
        <v>483</v>
      </c>
      <c r="V168" s="4" t="b">
        <v>1</v>
      </c>
      <c r="Y168" s="4" t="b">
        <v>1</v>
      </c>
    </row>
  </sheetData>
  <dataValidations count="1">
    <dataValidation type="list" allowBlank="1" showInputMessage="1" showErrorMessage="1" sqref="J2 K2:P2 Q2:T2 U2 V2:AA2 G24 G68 G99 G128 G138 G168 G2:G4 G5:G7 G8:G15 G16:G23 G25:G31 G32:G37 G38:G67 G69:G80 G81:G85 G86:G89 G90:G94 G95:G98 G100:G113 G114:G121 G122:G127 G129:G137 G139:G152 G153:G156 G157:G167 G169:G500 J3:J500 U3:U500 Q3:T500 K3:P500 V3:AA500">
      <formula1>'[1]DO NOT CHANGE or DELETE'!#REF!</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16"/>
  <sheetViews>
    <sheetView workbookViewId="0">
      <selection activeCell="D3" sqref="D3"/>
    </sheetView>
  </sheetViews>
  <sheetFormatPr defaultColWidth="9.14285714285714" defaultRowHeight="15" outlineLevelCol="4"/>
  <cols>
    <col min="2" max="4" width="30.7142857142857" customWidth="1"/>
    <col min="5" max="5" width="42.2857142857143" customWidth="1"/>
    <col min="6" max="6" width="22.7142857142857" customWidth="1"/>
  </cols>
  <sheetData>
    <row r="2" ht="23.25" spans="3:4">
      <c r="C2" s="1" t="s">
        <v>487</v>
      </c>
      <c r="D2" s="1" t="s">
        <v>488</v>
      </c>
    </row>
    <row r="5" ht="23.25" spans="2:5">
      <c r="B5" s="1" t="s">
        <v>28</v>
      </c>
      <c r="C5" s="1" t="s">
        <v>489</v>
      </c>
      <c r="D5" s="1" t="s">
        <v>490</v>
      </c>
      <c r="E5" s="1" t="s">
        <v>491</v>
      </c>
    </row>
    <row r="6" ht="23.25" spans="2:5">
      <c r="B6" s="2" t="s">
        <v>492</v>
      </c>
      <c r="C6" s="2"/>
      <c r="D6" s="2"/>
      <c r="E6" s="3">
        <f t="shared" ref="E6:E12" si="0">SUM(C6:D6)</f>
        <v>0</v>
      </c>
    </row>
    <row r="7" ht="23.25" spans="2:5">
      <c r="B7" s="2" t="s">
        <v>493</v>
      </c>
      <c r="C7" s="2"/>
      <c r="D7" s="2"/>
      <c r="E7" s="3">
        <f t="shared" si="0"/>
        <v>0</v>
      </c>
    </row>
    <row r="8" ht="23.25" spans="2:5">
      <c r="B8" s="2" t="s">
        <v>494</v>
      </c>
      <c r="C8" s="2"/>
      <c r="D8" s="2"/>
      <c r="E8" s="3">
        <f t="shared" si="0"/>
        <v>0</v>
      </c>
    </row>
    <row r="9" ht="23.25" spans="2:5">
      <c r="B9" s="2" t="s">
        <v>495</v>
      </c>
      <c r="C9" s="2"/>
      <c r="D9" s="2"/>
      <c r="E9" s="3">
        <f t="shared" si="0"/>
        <v>0</v>
      </c>
    </row>
    <row r="10" ht="23.25" spans="2:5">
      <c r="B10" s="2" t="s">
        <v>496</v>
      </c>
      <c r="C10" s="2"/>
      <c r="D10" s="2"/>
      <c r="E10" s="3">
        <f t="shared" si="0"/>
        <v>0</v>
      </c>
    </row>
    <row r="11" ht="23.25" spans="2:5">
      <c r="B11" s="2" t="s">
        <v>497</v>
      </c>
      <c r="C11" s="2"/>
      <c r="D11" s="2"/>
      <c r="E11" s="3">
        <f t="shared" si="0"/>
        <v>0</v>
      </c>
    </row>
    <row r="12" ht="23.25" spans="2:5">
      <c r="B12" s="2" t="s">
        <v>498</v>
      </c>
      <c r="C12" s="2"/>
      <c r="D12" s="2"/>
      <c r="E12" s="3">
        <f t="shared" si="0"/>
        <v>0</v>
      </c>
    </row>
    <row r="15" ht="23.25" spans="2:4">
      <c r="B15" s="1" t="s">
        <v>499</v>
      </c>
      <c r="C15" s="1" t="s">
        <v>500</v>
      </c>
      <c r="D15" s="1" t="s">
        <v>501</v>
      </c>
    </row>
    <row r="16" ht="23.25" spans="2:4">
      <c r="B16" s="2">
        <f>COUNTIF(Toolkit!G1:G500,"Clause")</f>
        <v>7</v>
      </c>
      <c r="C16" s="2">
        <f>COUNTIF(Toolkit!G1:G500,"Control")</f>
        <v>23</v>
      </c>
      <c r="D16" s="2">
        <f>COUNTIF(Toolkit!G1:G500,"Sub-control")</f>
        <v>131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8"/>
  <sheetViews>
    <sheetView workbookViewId="0">
      <selection activeCell="B8" sqref="B8"/>
    </sheetView>
  </sheetViews>
  <sheetFormatPr defaultColWidth="9.14285714285714" defaultRowHeight="15" outlineLevelRow="7" outlineLevelCol="3"/>
  <cols>
    <col min="2" max="2" width="12.1428571428571" customWidth="1"/>
    <col min="4" max="4" width="41.7142857142857" customWidth="1"/>
  </cols>
  <sheetData>
    <row r="2" spans="2:2">
      <c r="B2" t="s">
        <v>28</v>
      </c>
    </row>
    <row r="3" spans="2:2">
      <c r="B3" t="s">
        <v>32</v>
      </c>
    </row>
    <row r="4" spans="2:2">
      <c r="B4" t="s">
        <v>38</v>
      </c>
    </row>
    <row r="5" spans="4:4">
      <c r="D5" t="s">
        <v>502</v>
      </c>
    </row>
    <row r="8" spans="2:2">
      <c r="B8" t="b">
        <v>1</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3BCF17A8-A02F-4F2D-BFA6-2F429B91C0EC}">
  <ds:schemaRefs/>
</ds:datastoreItem>
</file>

<file path=customXml/itemProps2.xml><?xml version="1.0" encoding="utf-8"?>
<ds:datastoreItem xmlns:ds="http://schemas.openxmlformats.org/officeDocument/2006/customXml" ds:itemID="{43296538-9B7B-4E58-B428-DF554499E5EA}">
  <ds:schemaRefs/>
</ds:datastoreItem>
</file>

<file path=customXml/itemProps3.xml><?xml version="1.0" encoding="utf-8"?>
<ds:datastoreItem xmlns:ds="http://schemas.openxmlformats.org/officeDocument/2006/customXml" ds:itemID="{838E0AA6-2B44-4464-9A29-85E184514FA5}">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Toolkit</vt:lpstr>
      <vt:lpstr>Overview</vt:lpstr>
      <vt:lpstr>DO NOT CHANGE or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dc:creator>
  <cp:lastModifiedBy>Zain</cp:lastModifiedBy>
  <dcterms:created xsi:type="dcterms:W3CDTF">2021-03-08T18:00:00Z</dcterms:created>
  <dcterms:modified xsi:type="dcterms:W3CDTF">2023-05-18T15:15:46Z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0x01010016F54CC9C9558840B609D095F7B1EF36</vt:lpwstr>
  </property>
  <property fmtid="{D5CDD505-2E9C-101B-9397-08002B2CF9AE}" pid="3" name="ICV">
    <vt:lpwstr>1BDCDC808A574752A8592CFF76F214A0</vt:lpwstr>
  </property>
  <property fmtid="{D5CDD505-2E9C-101B-9397-08002B2CF9AE}" pid="4" name="KSOProductBuildVer">
    <vt:lpwstr>2057-11.2.0.11537</vt:lpwstr>
  </property>
</Properties>
</file>