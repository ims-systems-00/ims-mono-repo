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01"/>
  <workbookPr/>
  <mc:AlternateContent xmlns:mc="http://schemas.openxmlformats.org/markup-compatibility/2006">
    <mc:Choice Requires="x15">
      <x15ac:absPath xmlns:x15ac="http://schemas.microsoft.com/office/spreadsheetml/2010/11/ac" url="F:\ims_systems\ims_backend\src\initialize\"/>
    </mc:Choice>
  </mc:AlternateContent>
  <xr:revisionPtr revIDLastSave="0" documentId="13_ncr:1_{D2B3B27A-88DF-4EC6-8E05-C4415CC71C18}" xr6:coauthVersionLast="47" xr6:coauthVersionMax="47" xr10:uidLastSave="{00000000-0000-0000-0000-000000000000}"/>
  <bookViews>
    <workbookView xWindow="-110" yWindow="-110" windowWidth="19420" windowHeight="10300" xr2:uid="{00000000-000D-0000-FFFF-FFFF00000000}"/>
  </bookViews>
  <sheets>
    <sheet name="Toolkit" sheetId="1" r:id="rId1"/>
    <sheet name="Overview" sheetId="2" r:id="rId2"/>
    <sheet name="DO NOT CHANGE or DELETE" sheetId="3"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2" l="1"/>
  <c r="C16" i="2"/>
  <c r="B16" i="2"/>
  <c r="E12" i="2"/>
  <c r="E11" i="2"/>
  <c r="E10" i="2"/>
  <c r="E9" i="2"/>
  <c r="E8" i="2"/>
  <c r="E7" i="2"/>
  <c r="E6" i="2"/>
</calcChain>
</file>

<file path=xl/sharedStrings.xml><?xml version="1.0" encoding="utf-8"?>
<sst xmlns="http://schemas.openxmlformats.org/spreadsheetml/2006/main" count="302" uniqueCount="255">
  <si>
    <t>clause</t>
  </si>
  <si>
    <t>title</t>
  </si>
  <si>
    <t>description</t>
  </si>
  <si>
    <t>annex</t>
  </si>
  <si>
    <t>note</t>
  </si>
  <si>
    <t>UI</t>
  </si>
  <si>
    <t>type</t>
  </si>
  <si>
    <t>applicable_modules_label</t>
  </si>
  <si>
    <t>applicable_modules</t>
  </si>
  <si>
    <t>leaves</t>
  </si>
  <si>
    <t>expensereports</t>
  </si>
  <si>
    <t>hardwareassets</t>
  </si>
  <si>
    <t>softwareassets</t>
  </si>
  <si>
    <t>peopleassets</t>
  </si>
  <si>
    <t>premiseassets</t>
  </si>
  <si>
    <t>informationassets</t>
  </si>
  <si>
    <t>risks</t>
  </si>
  <si>
    <t>incidents</t>
  </si>
  <si>
    <t>audits</t>
  </si>
  <si>
    <t>managementreviews</t>
  </si>
  <si>
    <t>kpiobjectives</t>
  </si>
  <si>
    <t>cips</t>
  </si>
  <si>
    <t>customers</t>
  </si>
  <si>
    <t>suppliers</t>
  </si>
  <si>
    <t>documenttrees</t>
  </si>
  <si>
    <t>tasks</t>
  </si>
  <si>
    <t>calenderevents</t>
  </si>
  <si>
    <t>Organisational Controls</t>
  </si>
  <si>
    <t>Policies for information security</t>
  </si>
  <si>
    <t>&lt;p&gt;Information security policy and topic-specific policies shall be defined, approved by management, published, communicated to and acknowledged by relevant personnel and relevant interested parties, and reviewed at planned intervals and if significant changes occur.&lt;/p&gt;</t>
  </si>
  <si>
    <t>Information security roles and responsibilities</t>
  </si>
  <si>
    <t>&lt;p&gt;Information security roles and responsibilities shall be defined and allocated according to the organisation needs.&lt;/p&gt;</t>
  </si>
  <si>
    <t>Segregation of duties</t>
  </si>
  <si>
    <t>&lt;p&gt;Conflicting duties and conflicting areas of responsibility shall be segregated.&lt;/p&gt;</t>
  </si>
  <si>
    <t>Management responsibilities</t>
  </si>
  <si>
    <t>&lt;p&gt;Management shall require all personnel to apply information security in accordance with the established information security policy, topic-specific policies and procedures of the organisation.&lt;/p&gt;</t>
  </si>
  <si>
    <t>Contact with authorities</t>
  </si>
  <si>
    <t>&lt;p&gt;The organisation shall establish and maintain contact with relevant authorities.&lt;/p&gt;</t>
  </si>
  <si>
    <t>Contact with special interest groups</t>
  </si>
  <si>
    <t>&lt;p&gt;The organisation shall establish and maintain contact with special interest groups or other specialist security forums and professional associations.&lt;/p&gt;</t>
  </si>
  <si>
    <t>Threat intelligence</t>
  </si>
  <si>
    <t>&lt;p&gt;Information relating to information security threats shall be collected and analysed to produce threat intelligence.&lt;/p&gt;</t>
  </si>
  <si>
    <t>Information security in project management</t>
  </si>
  <si>
    <t>&lt;p&gt;Information security shall be integrated into project management.&lt;/p&gt;</t>
  </si>
  <si>
    <t>Inventory of information and other associated assets</t>
  </si>
  <si>
    <t>&lt;p&gt;An inventory of information and other associated assets, including owners, shall be developed and maintained.&lt;/p&gt;</t>
  </si>
  <si>
    <t>Inventory Management</t>
  </si>
  <si>
    <t>hardwareassets, softwareassets, peopleassets, premiseassets, informationassets</t>
  </si>
  <si>
    <t>Acceptable use of information and other associated assets</t>
  </si>
  <si>
    <t>&lt;p&gt;Rules for the acceptable use and procedures for handling information and other associated assets shall be identified, documented and implemented.&lt;/p&gt;</t>
  </si>
  <si>
    <t>Document Management</t>
  </si>
  <si>
    <t>Return of assets</t>
  </si>
  <si>
    <t>&lt;p&gt;Personnel and other interested parties as appropriate shall return all the organisation’s assets in their possession upon change or termination of their employment, contract or agreement.&lt;/p&gt;</t>
  </si>
  <si>
    <t>Classification of information</t>
  </si>
  <si>
    <t>&lt;p&gt;Information shall be classified according to the information security needs of the organisation based on confidentiality, integrity, availability and relevant interested party requirements.&lt;/p&gt;</t>
  </si>
  <si>
    <t>Labelling of information</t>
  </si>
  <si>
    <t>&lt;p&gt;An appropriate set of procedures for information labelling shall be developed and implemented in accordance with the information classification scheme adopted by the organisation.&lt;/p&gt;</t>
  </si>
  <si>
    <t>Information transfer</t>
  </si>
  <si>
    <t>&lt;p&gt;Information transfer rules, procedures, or agreements shall be in place for all types of transfer facilities within the organisation and between the organisation and other parties.&lt;/p&gt;</t>
  </si>
  <si>
    <t>Access control</t>
  </si>
  <si>
    <t>&lt;p&gt;Rules to control physical and logical access to information and other associated assets shall be established and implemented based on business and information security requirements.&lt;/p&gt;</t>
  </si>
  <si>
    <t>Identity management</t>
  </si>
  <si>
    <t>&lt;p&gt;The full life cycle of identities shall be managed.&lt;/p&gt;</t>
  </si>
  <si>
    <t>Authentication information</t>
  </si>
  <si>
    <t>&lt;p&gt;Allocation and management of authentication information shall be controlled by a management process, including advising personnel on appropriate handling of authentication information.&lt;/p&gt;</t>
  </si>
  <si>
    <t>Access rights</t>
  </si>
  <si>
    <t>&lt;p&gt;Access rights to information and other associated assets shall be provisioned, reviewed, modified and removed in accordance with the organisation’s topic-specific policy on and rules for access control.&lt;/p&gt;</t>
  </si>
  <si>
    <t>Information security in supplier relationships</t>
  </si>
  <si>
    <t>&lt;p&gt;Processes and procedures shall be defined and implemented to manage the information security risks associated with the use of supplier’s products or services.&lt;/p&gt;</t>
  </si>
  <si>
    <t>Risk Management and Supplier Management</t>
  </si>
  <si>
    <t>risks, suppliers</t>
  </si>
  <si>
    <t>Addressing information security within supplier agreements</t>
  </si>
  <si>
    <t>&lt;p&gt;Relevant information security requirements shall be established and agreed with each supplier based on the type of supplier relationship.&lt;/p&gt;</t>
  </si>
  <si>
    <t>Supplier Management</t>
  </si>
  <si>
    <t>Managing information security in the information and communication technology (ICT) supply chain</t>
  </si>
  <si>
    <t>&lt;p&gt;Processes and procedures shall be defined and implemented to manage the information security risks associated with the ICT products and services supply chain.&lt;/p&gt;</t>
  </si>
  <si>
    <t>Monitoring, review and change management of supplier services</t>
  </si>
  <si>
    <t>&lt;p&gt;The organisation shall regularly monitor, review, evaluate and manage change in supplier information security practices and service delivery.&lt;/p&gt;</t>
  </si>
  <si>
    <t>Information security for use of cloud services</t>
  </si>
  <si>
    <t>&lt;p&gt;Processes for acquisition, use, management and exit from cloud services shall be established in accordance with the organisation’s information security requirements.&lt;/p&gt;</t>
  </si>
  <si>
    <t>Information security incident management planning and preparation</t>
  </si>
  <si>
    <t>&lt;p&gt;The organisation shall plan and prepare for managing information security incidents by defining, establishing and communicating information security incident management processes, roles and responsibilities.&lt;/p&gt;</t>
  </si>
  <si>
    <t>Incident Management</t>
  </si>
  <si>
    <t>Assessment and decision on information security events</t>
  </si>
  <si>
    <t>&lt;p&gt;The organisation shall assess events and decide if they are to be categorized as information security incidents.&lt;/p&gt;</t>
  </si>
  <si>
    <t>Response to information security incidents</t>
  </si>
  <si>
    <t>&lt;p&gt;Information security incidents shall be responded to in accordance with the documented procedures.&lt;/p&gt;</t>
  </si>
  <si>
    <t>Incident Management and Document Management</t>
  </si>
  <si>
    <t>incidents, documenttrees</t>
  </si>
  <si>
    <t>Learning from information security incidents</t>
  </si>
  <si>
    <t>&lt;p&gt;Knowledge gained from information security incidents shall be used to strengthen and improve the information security controls.&lt;/p&gt;</t>
  </si>
  <si>
    <t>Collection of evidence</t>
  </si>
  <si>
    <t>&lt;p&gt;The organisation shall establish and implement procedures for the identification, collection, acquisition and preservation of evidence related to information security events.&lt;/p&gt;</t>
  </si>
  <si>
    <t>Information security during disruption</t>
  </si>
  <si>
    <t>&lt;p&gt;The organisation shall plan how to maintain information security at an appropriate level during disruption.&lt;/p&gt;</t>
  </si>
  <si>
    <t>ICT readiness for business continuity</t>
  </si>
  <si>
    <t>&lt;p&gt;ICT readiness shall be planned, implemented, maintained and tested based on business continuity objectives and ICT continuity requirements.&lt;/p&gt;</t>
  </si>
  <si>
    <t>Legal, statutory, regulatory and contractual requirements</t>
  </si>
  <si>
    <t>&lt;p&gt;Legal, statutory, regulatory and contractual requirements relevant to information security and the organisation’s approach to meet these requirements shall be identified, documented and kept up to date.&lt;/p&gt;</t>
  </si>
  <si>
    <t>Intellectual property rights</t>
  </si>
  <si>
    <t>&lt;p&gt;The organisation shall implement appropriate procedures to protect intellectual property rights.&lt;/p&gt;</t>
  </si>
  <si>
    <t>Protection of records</t>
  </si>
  <si>
    <t>&lt;p&gt;Records shall be protected from loss, destruction, falsification, unauthorised access and unauthorised release.&lt;/p&gt;</t>
  </si>
  <si>
    <t>Privacy and protection of personal identifiable information (PII)</t>
  </si>
  <si>
    <t>&lt;p&gt;The organisation shall identify and meet the requirements regarding the preservation of privacy and protection of PII according to applicable laws and regulations and contractual requirements.&lt;/p&gt;</t>
  </si>
  <si>
    <t>Independent review of information security</t>
  </si>
  <si>
    <t>&lt;p&gt;The organisation’s approach to managing information security and its implementation including people, processes and technologies shall be reviewed independently at planned intervals, or when significant changes occur.&lt;/p&gt;</t>
  </si>
  <si>
    <t>Compliance with policies, rules and standards for information security</t>
  </si>
  <si>
    <t>&lt;p&gt;Compliance with the organisation’s information security policy, topic-specific policies, rules and standards shall be regularly reviewed.&lt;/p&gt;</t>
  </si>
  <si>
    <t>Documented operating procedures</t>
  </si>
  <si>
    <t>&lt;p&gt;Operating procedures for information processing facilities shall be documented and made available to personnel who need them.&lt;/p&gt;</t>
  </si>
  <si>
    <t>People controls</t>
  </si>
  <si>
    <t>Screening</t>
  </si>
  <si>
    <t>&lt;p&gt;Background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risks.&lt;/p&gt;</t>
  </si>
  <si>
    <t>Terms and conditions of employment</t>
  </si>
  <si>
    <t>&lt;p&gt;The employment contractual agreements shall state the personnel’s and the organisation’s responsibilities for information security.&lt;/p&gt;</t>
  </si>
  <si>
    <t>Information security awareness, education and training</t>
  </si>
  <si>
    <t>&lt;p&gt;Personnel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function.&lt;/p&gt;</t>
  </si>
  <si>
    <t>Disciplinary process</t>
  </si>
  <si>
    <t>&lt;p&gt;A disciplinary process shall be formalised and communicated to take actions against personnel and other relevant interested parties who have committed an information security policy violation.&lt;/p&gt;</t>
  </si>
  <si>
    <t>Responsibilities after termination or change of employment</t>
  </si>
  <si>
    <t>&lt;p&gt;Information security responsibilities and duties that remain valid after termination or change of employment shall be defined, enforced and communicated to relevant personnel and other interested parties.&lt;/p&gt;</t>
  </si>
  <si>
    <t>Confidentiality or non-disclosure agreements</t>
  </si>
  <si>
    <t>&lt;p&gt;Confidentiality or non-disclosure agreements reflecting the organisation’s needs for the protection of information shall be identified, documented, regularly reviewed and signed by personnel and other relevant interested parties.&lt;/p&gt;</t>
  </si>
  <si>
    <t>Remote working</t>
  </si>
  <si>
    <t>&lt;p&gt;Security measures shall be implemented when personnel are working remotely to protect information accessed, processed or stored outside the organisation’s premises.&lt;/p&gt;</t>
  </si>
  <si>
    <t>Information security event reporting</t>
  </si>
  <si>
    <t>&lt;p&gt;The organisation shall provide a mechanism for personnel to report observed or suspected information security events through appropriate channels in a timely manner.&lt;/p&gt;</t>
  </si>
  <si>
    <t>Physical controls</t>
  </si>
  <si>
    <t>Physical security perimeters</t>
  </si>
  <si>
    <t>&lt;p&gt;Security perimeters shall be defined and used to protect areas that contain information and other associated assets.&lt;/p&gt;</t>
  </si>
  <si>
    <t>Physical entry</t>
  </si>
  <si>
    <t>&lt;p&gt;Secure areas shall be protected by appropriate entry controls and access points.&lt;/p&gt;</t>
  </si>
  <si>
    <t>Securing offices, rooms and facilities</t>
  </si>
  <si>
    <t>&lt;p&gt;Physical security for offices, rooms and facilities shall be designed and implemented.&lt;/p&gt;</t>
  </si>
  <si>
    <t>Physical security monitoring</t>
  </si>
  <si>
    <t>&lt;p&gt;Premises shall be continuously monitored for unauthorised physical access.&lt;/p&gt;</t>
  </si>
  <si>
    <t>Protecting against physical and environmental threats</t>
  </si>
  <si>
    <t>&lt;p&gt;Protection against physical and environmental threats, such as natural disasters and other intentional or unintentional physical threats to infrastructure shall be designed and implemented.&lt;/p&gt;</t>
  </si>
  <si>
    <t>Working in secure areas</t>
  </si>
  <si>
    <t>&lt;p&gt;Security measures for working in secure areas shall be designed and implemented.&lt;/p&gt;</t>
  </si>
  <si>
    <t>Clear desk and clear screen</t>
  </si>
  <si>
    <t>&lt;p&gt;Clear desk rules for papers and removable storage media and clear screen rules for information processing facilities shall be defined and appropriately enforced.&lt;/p&gt;</t>
  </si>
  <si>
    <t>Equipment siting and protection</t>
  </si>
  <si>
    <t>&lt;p&gt;Equipment shall be sited securely and protected.&lt;/p&gt;</t>
  </si>
  <si>
    <t>Security of assets off-premises</t>
  </si>
  <si>
    <t>&lt;p&gt;Off-site assets shall be protected.&lt;/p&gt;</t>
  </si>
  <si>
    <t>Storage media</t>
  </si>
  <si>
    <t>&lt;p&gt;Storage media shall be managed through their life cycle of acquisition, use, transportation and disposal in accordance with the organisation’s classification scheme and handling requirements.&lt;/p&gt;</t>
  </si>
  <si>
    <t>Supporting utilities</t>
  </si>
  <si>
    <t>&lt;p&gt;Information processing facilities shall be protected from power failures and other disruptions caused by failures in supporting utilities.&lt;/p&gt;</t>
  </si>
  <si>
    <t>Cabling security</t>
  </si>
  <si>
    <t>&lt;p&gt;Cables carrying power, data or supporting information services shall be protected from interception, interference or damage.&lt;/p&gt;</t>
  </si>
  <si>
    <t>Equipment maintenance</t>
  </si>
  <si>
    <t>&lt;p&gt;Equipment shall be maintained correctly to ensure availability, integrity and confidentiality of information.&lt;/p&gt;</t>
  </si>
  <si>
    <t>Secure disposal or re-use of equipment</t>
  </si>
  <si>
    <t>&lt;p&gt;Items of equipment containing storage media shall be verified to ensure that any sensitive data and licensed software has been removed or securely overwritten prior to disposal or re-use.&lt;/p&gt;</t>
  </si>
  <si>
    <t>Technological controls</t>
  </si>
  <si>
    <t>User end point devices</t>
  </si>
  <si>
    <t>&lt;p&gt;Information stored on, processed by or accessible via user end point devices shall be protected.&lt;/p&gt;</t>
  </si>
  <si>
    <t>Privileged access rights</t>
  </si>
  <si>
    <t>&lt;p&gt;The allocation and use of privileged access rights shall be restricted and managed.&lt;/p&gt;</t>
  </si>
  <si>
    <t>Information access restriction</t>
  </si>
  <si>
    <t>&lt;p&gt;Access to information and other associated assets shall be restricted in accordance with the established topic-specific policy on access control.&lt;/p&gt;</t>
  </si>
  <si>
    <t>Access to source code</t>
  </si>
  <si>
    <t>&lt;p&gt;Read and write access to source code, development tools and software libraries shall be appropriately managed.&lt;/p&gt;</t>
  </si>
  <si>
    <t>Secure authentication</t>
  </si>
  <si>
    <t>&lt;p&gt;Secure authentication technologies and procedures shall be implemented based on information access restrictions and the topic-specific policy on access control.&lt;/p&gt;</t>
  </si>
  <si>
    <t>Capacity management</t>
  </si>
  <si>
    <t>&lt;p&gt;The use of resources shall be monitored and adjusted in line with current and expected capacity requirements.&lt;/p&gt;</t>
  </si>
  <si>
    <t>Protection against malware</t>
  </si>
  <si>
    <t>&lt;p&gt;Protection against malware shall be implemented and supported by appropriate user awareness.&lt;/p&gt;</t>
  </si>
  <si>
    <t>Management of technical vulnerabilities</t>
  </si>
  <si>
    <t>&lt;p&gt;Information about technical vulnerabilities of information systems in use shall be obtained, the organisation’s exposure to such vulnerabilities shall be evaluated and appropriate measures shall be taken.&lt;/p&gt;</t>
  </si>
  <si>
    <t>Configuration management</t>
  </si>
  <si>
    <t>&lt;p&gt;Configurations, including security configurations, of hardware, software, services and networks shall be established, documented, implemented, monitored and reviewed.&lt;/p&gt;</t>
  </si>
  <si>
    <t>Information deletion</t>
  </si>
  <si>
    <t>&lt;p&gt;Information stored in information systems, devices or in any other storage media shall be deleted when no longer required.&lt;/p&gt;</t>
  </si>
  <si>
    <t>Data masking</t>
  </si>
  <si>
    <t>&lt;p&gt;Data masking shall be used in accordance with the organisation’s top-specific policy on access control and other related topic-specific policies, and business requirements, taking applicable legislation into consideration.&lt;/p&gt;</t>
  </si>
  <si>
    <t>Data leakage prevention</t>
  </si>
  <si>
    <t>&lt;p&gt;Data leakage prevention measures shall be applied to systems, networks and any other devices that process, store or transmit sensitive information.&lt;/p&gt;</t>
  </si>
  <si>
    <t>Information backup</t>
  </si>
  <si>
    <t>&lt;p&gt;Backup copies of information, software and systems shall be maintained and regularly tested in accordance with the agreed topic-specific policy on backup.&lt;/p&gt;</t>
  </si>
  <si>
    <t>Redundancy of information processing facilities</t>
  </si>
  <si>
    <t>&lt;p&gt;Information processing facilities shall be implemented with redundancy sufficient to meet availability requirements.&lt;/p&gt;</t>
  </si>
  <si>
    <t>Logging</t>
  </si>
  <si>
    <t>&lt;p&gt;Logs that record activities, exceptions, faults and other relevant events shall be produced, stored, protected and analysed.&lt;/p&gt;</t>
  </si>
  <si>
    <t>Monitoring activities</t>
  </si>
  <si>
    <t>&lt;p&gt;Networks, systems and applications shall be monitored for anomalous behaviour and appropriate actions taken to evaluate potential information security incidents.&lt;/p&gt;</t>
  </si>
  <si>
    <t>Clock synchronization</t>
  </si>
  <si>
    <t>&lt;p&gt;The clocks of information processing systems used by the organisation shall be synchronized to approved time sources.&lt;/p&gt;</t>
  </si>
  <si>
    <t>Use of privileged utility programs</t>
  </si>
  <si>
    <t>&lt;p&gt;The use of utility programs that can be capable of overriding system and application controls shall be restricted and tightly controlled.&lt;/p&gt;</t>
  </si>
  <si>
    <t>Installation of software on operational systems</t>
  </si>
  <si>
    <t>&lt;p&gt;Procedures and measures shall be implemented to securely manage software installation on operational systems.&lt;/p&gt;</t>
  </si>
  <si>
    <t>Networks security</t>
  </si>
  <si>
    <t>&lt;p&gt;Networks and network devices shall be secured, managed and controlled to protect information in systems and applications.&lt;/p&gt;</t>
  </si>
  <si>
    <t>Security of network services</t>
  </si>
  <si>
    <t>&lt;p&gt;Security mechanisms, service levels and service requirements of network services shall be identified, implemented and monitored.&lt;/p&gt;</t>
  </si>
  <si>
    <t>Segregation of networks</t>
  </si>
  <si>
    <t>&lt;p&gt;Groups of information services, users and information systems shall be segregated in the organisation’s networks.&lt;/p&gt;</t>
  </si>
  <si>
    <t>Web filtering</t>
  </si>
  <si>
    <t>&lt;p&gt;Access to external websites shall be managed to reduce exposure to malicious content.&lt;/p&gt;</t>
  </si>
  <si>
    <t>Use of cryptography</t>
  </si>
  <si>
    <t>&lt;p&gt;Rules for the effective use of cryptography, including cryptographic key management, shall be defined and implemented.&lt;/p&gt;</t>
  </si>
  <si>
    <t>Secure development life cycle</t>
  </si>
  <si>
    <t>&lt;p&gt;Rules for the secure development of software and systems shall be established and applied.&lt;/p&gt;</t>
  </si>
  <si>
    <t>Application security requirements</t>
  </si>
  <si>
    <t>&lt;p&gt;Information security requirements shall be identified, specified and approved when developing or acquiring applications.&lt;/p&gt;</t>
  </si>
  <si>
    <t>Secure system architecture and engineering principles</t>
  </si>
  <si>
    <t>&lt;p&gt;Principles for engineering secure systems shall be established, documented, maintained and applied to any information system development activities.&lt;/p&gt;</t>
  </si>
  <si>
    <t>Secure coding</t>
  </si>
  <si>
    <t>&lt;p&gt;Secure coding principles shall be applied to software development.&lt;/p&gt;</t>
  </si>
  <si>
    <t>Security testing in development and acceptance</t>
  </si>
  <si>
    <t>&lt;p&gt;Security testing processes shall be defined and implemented in the development life cycle.&lt;/p&gt;</t>
  </si>
  <si>
    <t>Outsourced development</t>
  </si>
  <si>
    <t>&lt;p&gt;The organisation shall direct, monitor and review the activities related to outsourced system development.&lt;/p&gt;</t>
  </si>
  <si>
    <t>Separation of development, test and production environments</t>
  </si>
  <si>
    <t>&lt;p&gt;Development, testing and production environments shall be separated and secured.&lt;/p&gt;</t>
  </si>
  <si>
    <t>Change management</t>
  </si>
  <si>
    <t>&lt;p&gt;Changes to information processing facilities and information systems shall be subject to change management procedures.&lt;/p&gt;</t>
  </si>
  <si>
    <t>Test information</t>
  </si>
  <si>
    <t>&lt;p&gt;Test information shall be appropriately selected, protected and managed.&lt;/p&gt;</t>
  </si>
  <si>
    <t>Protection of information systems during audit testing</t>
  </si>
  <si>
    <t>&lt;p&gt;Audit tests and other assurance activities involving assessment of operational systems shall be planned and agreed between the tester and appropriate management.&lt;/p&gt;</t>
  </si>
  <si>
    <t>Audits</t>
  </si>
  <si>
    <t>Version of Toolkit:</t>
  </si>
  <si>
    <t>YYYY ??? Edition</t>
  </si>
  <si>
    <t>Clause</t>
  </si>
  <si>
    <t>Controls</t>
  </si>
  <si>
    <t>Sub-Controls</t>
  </si>
  <si>
    <t>Total Controls per Section</t>
  </si>
  <si>
    <t>Section 4</t>
  </si>
  <si>
    <t>Section 5</t>
  </si>
  <si>
    <t>Section 6</t>
  </si>
  <si>
    <t>Section 7</t>
  </si>
  <si>
    <t>Section 8</t>
  </si>
  <si>
    <t>Section 9</t>
  </si>
  <si>
    <t>Section 10</t>
  </si>
  <si>
    <t>Total Clauses</t>
  </si>
  <si>
    <t>Total Controls</t>
  </si>
  <si>
    <t>Total Sub-Controls</t>
  </si>
  <si>
    <t>Control</t>
  </si>
  <si>
    <t>Sub-control</t>
  </si>
  <si>
    <t>For each Module, if applicable put "TRUE"</t>
  </si>
  <si>
    <t>5.4</t>
  </si>
  <si>
    <t>5.9</t>
  </si>
  <si>
    <t>5.10</t>
  </si>
  <si>
    <t>5.20</t>
  </si>
  <si>
    <t>5.30</t>
  </si>
  <si>
    <t>7.10</t>
  </si>
  <si>
    <t>8.10</t>
  </si>
  <si>
    <t>8.20</t>
  </si>
  <si>
    <t>8.30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</si>
</sst>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charset val="134"/>
      <scheme val="minor"/>
    </font>
    <font>
      <sz val="11"/>
      <color theme="1"/>
      <name val="Calibri"/>
      <family val="2"/>
      <scheme val="minor"/>
    </font>
    <font>
      <b/>
      <sz val="18"/>
      <color theme="1"/>
      <name val="Calibri"/>
      <charset val="134"/>
      <scheme val="minor"/>
    </font>
    <font>
      <sz val="18"/>
      <color theme="1"/>
      <name val="Calibri"/>
      <charset val="134"/>
      <scheme val="minor"/>
    </font>
    <font>
      <b/>
      <sz val="11"/>
      <color theme="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0" xfId="0"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49" fontId="4" fillId="0" borderId="0" xfId="0" applyNumberFormat="1" applyFont="1" applyAlignment="1">
      <alignment horizontal="center" vertical="center" wrapText="1"/>
    </xf>
    <xf numFmtId="49"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Zain/OneDrive%20-%20iMS%20Systems/0%20-%20Important%20IMS%20Docs/0%20-%20Compliance/2%20-%20Updated%20Versions%20+%20Latest%20New%20Toolkits/2%20-%20To%20Update%20Again%20Again/Previous%20Version/iso27001-2022%20Annex%20A%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olkit"/>
      <sheetName val="Overview"/>
      <sheetName val="DO NOT CHANGE or DELETE"/>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
  <sheetViews>
    <sheetView tabSelected="1" zoomScale="85" zoomScaleNormal="85" workbookViewId="0">
      <pane ySplit="1" topLeftCell="A95" activePane="bottomLeft" state="frozen"/>
      <selection pane="bottomLeft" activeCell="A100" sqref="A100"/>
    </sheetView>
  </sheetViews>
  <sheetFormatPr defaultColWidth="9" defaultRowHeight="14.5"/>
  <cols>
    <col min="1" max="1" width="44.26953125" style="3" customWidth="1"/>
    <col min="2" max="2" width="55.7265625" style="3" customWidth="1"/>
    <col min="3" max="3" width="61.453125" style="3" customWidth="1"/>
    <col min="4" max="4" width="9" style="3"/>
    <col min="5" max="5" width="44.26953125" style="3" customWidth="1"/>
    <col min="6" max="6" width="32.26953125" style="3" customWidth="1"/>
    <col min="7" max="7" width="17.7265625" style="3" customWidth="1"/>
    <col min="8" max="8" width="26.90625" style="3" customWidth="1"/>
    <col min="9" max="9" width="24.81640625" style="3" customWidth="1"/>
    <col min="10" max="15" width="15.7265625" style="3" customWidth="1"/>
    <col min="16" max="16" width="18.26953125" style="3" customWidth="1"/>
    <col min="17" max="19" width="15.7265625" style="3" customWidth="1"/>
    <col min="20" max="20" width="19.54296875" style="3" customWidth="1"/>
    <col min="21" max="27" width="15.7265625" style="3" customWidth="1"/>
    <col min="28" max="16384" width="9" style="3"/>
  </cols>
  <sheetData>
    <row r="1" spans="1:27">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row>
    <row r="2" spans="1:27">
      <c r="A2" s="6">
        <v>5</v>
      </c>
      <c r="B2" s="4" t="s">
        <v>27</v>
      </c>
    </row>
    <row r="3" spans="1:27" ht="58">
      <c r="A3" s="7">
        <v>5.0999999999999996</v>
      </c>
      <c r="B3" s="3" t="s">
        <v>28</v>
      </c>
      <c r="C3" s="3" t="s">
        <v>29</v>
      </c>
    </row>
    <row r="4" spans="1:27" ht="29">
      <c r="A4" s="7">
        <v>5.2</v>
      </c>
      <c r="B4" s="5" t="s">
        <v>30</v>
      </c>
      <c r="C4" s="3" t="s">
        <v>31</v>
      </c>
    </row>
    <row r="5" spans="1:27" ht="29">
      <c r="A5" s="7">
        <v>5.3</v>
      </c>
      <c r="B5" s="3" t="s">
        <v>32</v>
      </c>
      <c r="C5" s="3" t="s">
        <v>33</v>
      </c>
    </row>
    <row r="6" spans="1:27" ht="43.5">
      <c r="A6" s="7" t="s">
        <v>246</v>
      </c>
      <c r="B6" s="3" t="s">
        <v>34</v>
      </c>
      <c r="C6" s="3" t="s">
        <v>35</v>
      </c>
    </row>
    <row r="7" spans="1:27" ht="29">
      <c r="A7" s="7">
        <v>5.5</v>
      </c>
      <c r="B7" s="3" t="s">
        <v>36</v>
      </c>
      <c r="C7" s="3" t="s">
        <v>37</v>
      </c>
    </row>
    <row r="8" spans="1:27" ht="43.5">
      <c r="A8" s="7">
        <v>5.6</v>
      </c>
      <c r="B8" s="3" t="s">
        <v>38</v>
      </c>
      <c r="C8" s="3" t="s">
        <v>39</v>
      </c>
    </row>
    <row r="9" spans="1:27" ht="29">
      <c r="A9" s="7">
        <v>5.7</v>
      </c>
      <c r="B9" s="3" t="s">
        <v>40</v>
      </c>
      <c r="C9" s="3" t="s">
        <v>41</v>
      </c>
    </row>
    <row r="10" spans="1:27" ht="29">
      <c r="A10" s="7">
        <v>5.8</v>
      </c>
      <c r="B10" s="3" t="s">
        <v>42</v>
      </c>
      <c r="C10" s="3" t="s">
        <v>43</v>
      </c>
    </row>
    <row r="11" spans="1:27" ht="72.5">
      <c r="A11" s="7" t="s">
        <v>247</v>
      </c>
      <c r="B11" s="3" t="s">
        <v>44</v>
      </c>
      <c r="C11" s="3" t="s">
        <v>45</v>
      </c>
      <c r="H11" s="3" t="s">
        <v>46</v>
      </c>
      <c r="I11" s="3" t="s">
        <v>47</v>
      </c>
      <c r="L11" s="3" t="b">
        <v>1</v>
      </c>
      <c r="M11" s="3" t="b">
        <v>1</v>
      </c>
      <c r="N11" s="3" t="b">
        <v>1</v>
      </c>
      <c r="O11" s="3" t="b">
        <v>1</v>
      </c>
      <c r="P11" s="3" t="b">
        <v>1</v>
      </c>
    </row>
    <row r="12" spans="1:27" ht="43.5">
      <c r="A12" s="7" t="s">
        <v>248</v>
      </c>
      <c r="B12" s="3" t="s">
        <v>48</v>
      </c>
      <c r="C12" s="3" t="s">
        <v>49</v>
      </c>
      <c r="H12" s="3" t="s">
        <v>50</v>
      </c>
      <c r="I12" s="3" t="s">
        <v>24</v>
      </c>
      <c r="Y12" s="3" t="b">
        <v>1</v>
      </c>
    </row>
    <row r="13" spans="1:27" ht="72.5">
      <c r="A13" s="7">
        <v>5.1100000000000003</v>
      </c>
      <c r="B13" s="3" t="s">
        <v>51</v>
      </c>
      <c r="C13" s="3" t="s">
        <v>52</v>
      </c>
      <c r="H13" s="3" t="s">
        <v>46</v>
      </c>
      <c r="I13" s="3" t="s">
        <v>47</v>
      </c>
      <c r="L13" s="3" t="b">
        <v>1</v>
      </c>
      <c r="M13" s="3" t="b">
        <v>1</v>
      </c>
      <c r="N13" s="3" t="b">
        <v>1</v>
      </c>
      <c r="O13" s="3" t="b">
        <v>1</v>
      </c>
      <c r="P13" s="3" t="b">
        <v>1</v>
      </c>
    </row>
    <row r="14" spans="1:27" ht="43.5">
      <c r="A14" s="7">
        <v>5.12</v>
      </c>
      <c r="B14" s="3" t="s">
        <v>53</v>
      </c>
      <c r="C14" s="3" t="s">
        <v>54</v>
      </c>
    </row>
    <row r="15" spans="1:27" ht="43.5">
      <c r="A15" s="7">
        <v>5.13</v>
      </c>
      <c r="B15" s="3" t="s">
        <v>55</v>
      </c>
      <c r="C15" s="3" t="s">
        <v>56</v>
      </c>
    </row>
    <row r="16" spans="1:27" ht="43.5">
      <c r="A16" s="7">
        <v>5.14</v>
      </c>
      <c r="B16" s="3" t="s">
        <v>57</v>
      </c>
      <c r="C16" s="3" t="s">
        <v>58</v>
      </c>
    </row>
    <row r="17" spans="1:25" ht="72.5">
      <c r="A17" s="7">
        <v>5.15</v>
      </c>
      <c r="B17" s="3" t="s">
        <v>59</v>
      </c>
      <c r="C17" s="3" t="s">
        <v>60</v>
      </c>
      <c r="H17" s="3" t="s">
        <v>46</v>
      </c>
      <c r="I17" s="3" t="s">
        <v>47</v>
      </c>
      <c r="L17" s="3" t="b">
        <v>1</v>
      </c>
      <c r="M17" s="3" t="b">
        <v>1</v>
      </c>
      <c r="N17" s="3" t="b">
        <v>1</v>
      </c>
      <c r="O17" s="3" t="b">
        <v>1</v>
      </c>
      <c r="P17" s="3" t="b">
        <v>1</v>
      </c>
    </row>
    <row r="18" spans="1:25">
      <c r="A18" s="7">
        <v>5.16</v>
      </c>
      <c r="B18" s="3" t="s">
        <v>61</v>
      </c>
      <c r="C18" s="3" t="s">
        <v>62</v>
      </c>
    </row>
    <row r="19" spans="1:25" ht="72.5">
      <c r="A19" s="7">
        <v>5.17</v>
      </c>
      <c r="B19" s="3" t="s">
        <v>63</v>
      </c>
      <c r="C19" s="3" t="s">
        <v>64</v>
      </c>
      <c r="H19" s="3" t="s">
        <v>46</v>
      </c>
      <c r="I19" s="3" t="s">
        <v>47</v>
      </c>
      <c r="L19" s="3" t="b">
        <v>1</v>
      </c>
      <c r="M19" s="3" t="b">
        <v>1</v>
      </c>
      <c r="N19" s="3" t="b">
        <v>1</v>
      </c>
      <c r="O19" s="3" t="b">
        <v>1</v>
      </c>
      <c r="P19" s="3" t="b">
        <v>1</v>
      </c>
    </row>
    <row r="20" spans="1:25" ht="72.5">
      <c r="A20" s="7">
        <v>5.18</v>
      </c>
      <c r="B20" s="3" t="s">
        <v>65</v>
      </c>
      <c r="C20" s="3" t="s">
        <v>66</v>
      </c>
      <c r="H20" s="3" t="s">
        <v>46</v>
      </c>
      <c r="I20" s="3" t="s">
        <v>47</v>
      </c>
      <c r="L20" s="3" t="b">
        <v>1</v>
      </c>
      <c r="M20" s="3" t="b">
        <v>1</v>
      </c>
      <c r="N20" s="3" t="b">
        <v>1</v>
      </c>
      <c r="O20" s="3" t="b">
        <v>1</v>
      </c>
      <c r="P20" s="3" t="b">
        <v>1</v>
      </c>
    </row>
    <row r="21" spans="1:25" ht="43.5">
      <c r="A21" s="7">
        <v>5.19</v>
      </c>
      <c r="B21" s="3" t="s">
        <v>67</v>
      </c>
      <c r="C21" s="3" t="s">
        <v>68</v>
      </c>
      <c r="H21" s="3" t="s">
        <v>69</v>
      </c>
      <c r="I21" s="3" t="s">
        <v>70</v>
      </c>
      <c r="Q21" s="3" t="b">
        <v>1</v>
      </c>
      <c r="X21" s="3" t="b">
        <v>1</v>
      </c>
    </row>
    <row r="22" spans="1:25" ht="43.5">
      <c r="A22" s="7" t="s">
        <v>249</v>
      </c>
      <c r="B22" s="3" t="s">
        <v>71</v>
      </c>
      <c r="C22" s="3" t="s">
        <v>72</v>
      </c>
      <c r="H22" s="3" t="s">
        <v>73</v>
      </c>
      <c r="I22" s="3" t="s">
        <v>23</v>
      </c>
      <c r="X22" s="3" t="b">
        <v>1</v>
      </c>
    </row>
    <row r="23" spans="1:25" ht="43.5">
      <c r="A23" s="7">
        <v>5.21</v>
      </c>
      <c r="B23" s="3" t="s">
        <v>74</v>
      </c>
      <c r="C23" s="3" t="s">
        <v>75</v>
      </c>
      <c r="H23" s="3" t="s">
        <v>69</v>
      </c>
      <c r="I23" s="3" t="s">
        <v>70</v>
      </c>
      <c r="Q23" s="3" t="b">
        <v>1</v>
      </c>
      <c r="X23" s="3" t="b">
        <v>1</v>
      </c>
    </row>
    <row r="24" spans="1:25" ht="43.5">
      <c r="A24" s="7">
        <v>5.22</v>
      </c>
      <c r="B24" s="3" t="s">
        <v>76</v>
      </c>
      <c r="C24" s="3" t="s">
        <v>77</v>
      </c>
      <c r="H24" s="3" t="s">
        <v>73</v>
      </c>
      <c r="I24" s="3" t="s">
        <v>23</v>
      </c>
      <c r="X24" s="3" t="b">
        <v>1</v>
      </c>
    </row>
    <row r="25" spans="1:25" ht="43.5">
      <c r="A25" s="7">
        <v>5.23</v>
      </c>
      <c r="B25" s="3" t="s">
        <v>78</v>
      </c>
      <c r="C25" s="3" t="s">
        <v>79</v>
      </c>
    </row>
    <row r="26" spans="1:25" ht="58">
      <c r="A26" s="7">
        <v>5.24</v>
      </c>
      <c r="B26" s="3" t="s">
        <v>80</v>
      </c>
      <c r="C26" s="3" t="s">
        <v>81</v>
      </c>
      <c r="H26" s="3" t="s">
        <v>82</v>
      </c>
      <c r="I26" s="3" t="s">
        <v>17</v>
      </c>
      <c r="R26" s="3" t="b">
        <v>1</v>
      </c>
    </row>
    <row r="27" spans="1:25" ht="29">
      <c r="A27" s="7">
        <v>5.25</v>
      </c>
      <c r="B27" s="3" t="s">
        <v>83</v>
      </c>
      <c r="C27" s="3" t="s">
        <v>84</v>
      </c>
      <c r="H27" s="3" t="s">
        <v>82</v>
      </c>
      <c r="I27" s="3" t="s">
        <v>17</v>
      </c>
      <c r="R27" s="3" t="b">
        <v>1</v>
      </c>
    </row>
    <row r="28" spans="1:25" ht="29">
      <c r="A28" s="7">
        <v>5.26</v>
      </c>
      <c r="B28" s="3" t="s">
        <v>85</v>
      </c>
      <c r="C28" s="3" t="s">
        <v>86</v>
      </c>
      <c r="H28" s="3" t="s">
        <v>87</v>
      </c>
      <c r="I28" s="3" t="s">
        <v>88</v>
      </c>
      <c r="R28" s="3" t="b">
        <v>1</v>
      </c>
      <c r="Y28" s="3" t="b">
        <v>1</v>
      </c>
    </row>
    <row r="29" spans="1:25" ht="29">
      <c r="A29" s="7">
        <v>5.27</v>
      </c>
      <c r="B29" s="3" t="s">
        <v>89</v>
      </c>
      <c r="C29" s="3" t="s">
        <v>90</v>
      </c>
      <c r="H29" s="3" t="s">
        <v>82</v>
      </c>
      <c r="I29" s="3" t="s">
        <v>17</v>
      </c>
      <c r="R29" s="3" t="b">
        <v>1</v>
      </c>
    </row>
    <row r="30" spans="1:25" ht="43.5">
      <c r="A30" s="7">
        <v>5.28</v>
      </c>
      <c r="B30" s="3" t="s">
        <v>91</v>
      </c>
      <c r="C30" s="3" t="s">
        <v>92</v>
      </c>
    </row>
    <row r="31" spans="1:25" ht="29">
      <c r="A31" s="7">
        <v>5.29</v>
      </c>
      <c r="B31" s="3" t="s">
        <v>93</v>
      </c>
      <c r="C31" s="3" t="s">
        <v>94</v>
      </c>
    </row>
    <row r="32" spans="1:25" ht="43.5">
      <c r="A32" s="7" t="s">
        <v>250</v>
      </c>
      <c r="B32" s="3" t="s">
        <v>95</v>
      </c>
      <c r="C32" s="3" t="s">
        <v>96</v>
      </c>
    </row>
    <row r="33" spans="1:25" ht="43.5">
      <c r="A33" s="7">
        <v>5.31</v>
      </c>
      <c r="B33" s="3" t="s">
        <v>97</v>
      </c>
      <c r="C33" s="3" t="s">
        <v>98</v>
      </c>
      <c r="H33" s="3" t="s">
        <v>50</v>
      </c>
      <c r="I33" s="3" t="s">
        <v>24</v>
      </c>
      <c r="Y33" s="3" t="b">
        <v>1</v>
      </c>
    </row>
    <row r="34" spans="1:25" ht="29">
      <c r="A34" s="7">
        <v>5.32</v>
      </c>
      <c r="B34" s="3" t="s">
        <v>99</v>
      </c>
      <c r="C34" s="3" t="s">
        <v>100</v>
      </c>
    </row>
    <row r="35" spans="1:25" ht="29">
      <c r="A35" s="7">
        <v>5.33</v>
      </c>
      <c r="B35" s="3" t="s">
        <v>101</v>
      </c>
      <c r="C35" s="3" t="s">
        <v>102</v>
      </c>
      <c r="H35" s="3" t="s">
        <v>50</v>
      </c>
      <c r="I35" s="3" t="s">
        <v>24</v>
      </c>
      <c r="Y35" s="3" t="b">
        <v>1</v>
      </c>
    </row>
    <row r="36" spans="1:25" ht="43.5">
      <c r="A36" s="7">
        <v>5.34</v>
      </c>
      <c r="B36" s="3" t="s">
        <v>103</v>
      </c>
      <c r="C36" s="3" t="s">
        <v>104</v>
      </c>
      <c r="H36" s="3" t="s">
        <v>50</v>
      </c>
      <c r="I36" s="3" t="s">
        <v>24</v>
      </c>
      <c r="Y36" s="3" t="b">
        <v>1</v>
      </c>
    </row>
    <row r="37" spans="1:25" ht="58">
      <c r="A37" s="7">
        <v>5.35</v>
      </c>
      <c r="B37" s="3" t="s">
        <v>105</v>
      </c>
      <c r="C37" s="3" t="s">
        <v>106</v>
      </c>
    </row>
    <row r="38" spans="1:25" ht="43.5">
      <c r="A38" s="7">
        <v>5.36</v>
      </c>
      <c r="B38" s="3" t="s">
        <v>107</v>
      </c>
      <c r="C38" s="3" t="s">
        <v>108</v>
      </c>
    </row>
    <row r="39" spans="1:25" ht="29">
      <c r="A39" s="7">
        <v>5.37</v>
      </c>
      <c r="B39" s="3" t="s">
        <v>109</v>
      </c>
      <c r="C39" s="3" t="s">
        <v>110</v>
      </c>
      <c r="H39" s="3" t="s">
        <v>50</v>
      </c>
      <c r="I39" s="3" t="s">
        <v>24</v>
      </c>
      <c r="Y39" s="3" t="b">
        <v>1</v>
      </c>
    </row>
    <row r="40" spans="1:25">
      <c r="A40" s="7"/>
    </row>
    <row r="41" spans="1:25">
      <c r="A41" s="6">
        <v>6</v>
      </c>
      <c r="B41" s="4" t="s">
        <v>111</v>
      </c>
    </row>
    <row r="42" spans="1:25" ht="87">
      <c r="A42" s="7">
        <v>6.1</v>
      </c>
      <c r="B42" s="3" t="s">
        <v>112</v>
      </c>
      <c r="C42" s="3" t="s">
        <v>113</v>
      </c>
    </row>
    <row r="43" spans="1:25" ht="29">
      <c r="A43" s="7">
        <v>6.2</v>
      </c>
      <c r="B43" s="3" t="s">
        <v>114</v>
      </c>
      <c r="C43" s="3" t="s">
        <v>115</v>
      </c>
    </row>
    <row r="44" spans="1:25" ht="72.5">
      <c r="A44" s="7">
        <v>6.3</v>
      </c>
      <c r="B44" s="3" t="s">
        <v>116</v>
      </c>
      <c r="C44" s="3" t="s">
        <v>117</v>
      </c>
    </row>
    <row r="45" spans="1:25" ht="43.5">
      <c r="A45" s="7">
        <v>6.4</v>
      </c>
      <c r="B45" s="3" t="s">
        <v>118</v>
      </c>
      <c r="C45" s="3" t="s">
        <v>119</v>
      </c>
    </row>
    <row r="46" spans="1:25" ht="58">
      <c r="A46" s="7">
        <v>6.5</v>
      </c>
      <c r="B46" s="3" t="s">
        <v>120</v>
      </c>
      <c r="C46" s="3" t="s">
        <v>121</v>
      </c>
    </row>
    <row r="47" spans="1:25" ht="58">
      <c r="A47" s="7">
        <v>6.6</v>
      </c>
      <c r="B47" s="3" t="s">
        <v>122</v>
      </c>
      <c r="C47" s="3" t="s">
        <v>123</v>
      </c>
      <c r="H47" s="3" t="s">
        <v>50</v>
      </c>
      <c r="I47" s="3" t="s">
        <v>24</v>
      </c>
      <c r="Y47" s="3" t="b">
        <v>1</v>
      </c>
    </row>
    <row r="48" spans="1:25" ht="43.5">
      <c r="A48" s="7">
        <v>6.7</v>
      </c>
      <c r="B48" s="3" t="s">
        <v>124</v>
      </c>
      <c r="C48" s="3" t="s">
        <v>125</v>
      </c>
    </row>
    <row r="49" spans="1:16" ht="43.5">
      <c r="A49" s="7">
        <v>6.8</v>
      </c>
      <c r="B49" s="3" t="s">
        <v>126</v>
      </c>
      <c r="C49" s="3" t="s">
        <v>127</v>
      </c>
    </row>
    <row r="50" spans="1:16">
      <c r="A50" s="7"/>
    </row>
    <row r="51" spans="1:16">
      <c r="A51" s="6">
        <v>7</v>
      </c>
      <c r="B51" s="4" t="s">
        <v>128</v>
      </c>
    </row>
    <row r="52" spans="1:16" ht="72.5">
      <c r="A52" s="7">
        <v>7.1</v>
      </c>
      <c r="B52" s="3" t="s">
        <v>129</v>
      </c>
      <c r="C52" s="3" t="s">
        <v>130</v>
      </c>
      <c r="H52" s="3" t="s">
        <v>46</v>
      </c>
      <c r="I52" s="3" t="s">
        <v>47</v>
      </c>
      <c r="L52" s="3" t="b">
        <v>1</v>
      </c>
      <c r="M52" s="3" t="b">
        <v>1</v>
      </c>
      <c r="N52" s="3" t="b">
        <v>1</v>
      </c>
      <c r="O52" s="3" t="b">
        <v>1</v>
      </c>
      <c r="P52" s="3" t="b">
        <v>1</v>
      </c>
    </row>
    <row r="53" spans="1:16" ht="29">
      <c r="A53" s="7">
        <v>7.2</v>
      </c>
      <c r="B53" s="3" t="s">
        <v>131</v>
      </c>
      <c r="C53" s="3" t="s">
        <v>132</v>
      </c>
    </row>
    <row r="54" spans="1:16" ht="29">
      <c r="A54" s="7">
        <v>7.3</v>
      </c>
      <c r="B54" s="3" t="s">
        <v>133</v>
      </c>
      <c r="C54" s="3" t="s">
        <v>134</v>
      </c>
    </row>
    <row r="55" spans="1:16" ht="29">
      <c r="A55" s="7">
        <v>7.4</v>
      </c>
      <c r="B55" s="3" t="s">
        <v>135</v>
      </c>
      <c r="C55" s="3" t="s">
        <v>136</v>
      </c>
    </row>
    <row r="56" spans="1:16" ht="43.5">
      <c r="A56" s="7">
        <v>7.5</v>
      </c>
      <c r="B56" s="3" t="s">
        <v>137</v>
      </c>
      <c r="C56" s="3" t="s">
        <v>138</v>
      </c>
    </row>
    <row r="57" spans="1:16" ht="29">
      <c r="A57" s="7">
        <v>7.6</v>
      </c>
      <c r="B57" s="3" t="s">
        <v>139</v>
      </c>
      <c r="C57" s="3" t="s">
        <v>140</v>
      </c>
    </row>
    <row r="58" spans="1:16" ht="43.5">
      <c r="A58" s="7">
        <v>7.7</v>
      </c>
      <c r="B58" s="3" t="s">
        <v>141</v>
      </c>
      <c r="C58" s="3" t="s">
        <v>142</v>
      </c>
    </row>
    <row r="59" spans="1:16">
      <c r="A59" s="7">
        <v>7.8</v>
      </c>
      <c r="B59" s="3" t="s">
        <v>143</v>
      </c>
      <c r="C59" s="3" t="s">
        <v>144</v>
      </c>
    </row>
    <row r="60" spans="1:16" ht="72.5">
      <c r="A60" s="7">
        <v>7.9</v>
      </c>
      <c r="B60" s="3" t="s">
        <v>145</v>
      </c>
      <c r="C60" s="3" t="s">
        <v>146</v>
      </c>
      <c r="H60" s="3" t="s">
        <v>46</v>
      </c>
      <c r="I60" s="3" t="s">
        <v>47</v>
      </c>
      <c r="L60" s="3" t="b">
        <v>1</v>
      </c>
      <c r="M60" s="3" t="b">
        <v>1</v>
      </c>
      <c r="N60" s="3" t="b">
        <v>1</v>
      </c>
      <c r="O60" s="3" t="b">
        <v>1</v>
      </c>
      <c r="P60" s="3" t="b">
        <v>1</v>
      </c>
    </row>
    <row r="61" spans="1:16" ht="72.5">
      <c r="A61" s="7" t="s">
        <v>251</v>
      </c>
      <c r="B61" s="3" t="s">
        <v>147</v>
      </c>
      <c r="C61" s="3" t="s">
        <v>148</v>
      </c>
      <c r="H61" s="3" t="s">
        <v>46</v>
      </c>
      <c r="I61" s="3" t="s">
        <v>47</v>
      </c>
      <c r="L61" s="3" t="b">
        <v>1</v>
      </c>
      <c r="M61" s="3" t="b">
        <v>1</v>
      </c>
      <c r="N61" s="3" t="b">
        <v>1</v>
      </c>
      <c r="O61" s="3" t="b">
        <v>1</v>
      </c>
      <c r="P61" s="3" t="b">
        <v>1</v>
      </c>
    </row>
    <row r="62" spans="1:16" ht="43.5">
      <c r="A62" s="7">
        <v>7.11</v>
      </c>
      <c r="B62" s="3" t="s">
        <v>149</v>
      </c>
      <c r="C62" s="3" t="s">
        <v>150</v>
      </c>
    </row>
    <row r="63" spans="1:16" ht="29">
      <c r="A63" s="7">
        <v>7.12</v>
      </c>
      <c r="B63" s="3" t="s">
        <v>151</v>
      </c>
      <c r="C63" s="3" t="s">
        <v>152</v>
      </c>
    </row>
    <row r="64" spans="1:16" ht="29">
      <c r="A64" s="7">
        <v>7.13</v>
      </c>
      <c r="B64" s="3" t="s">
        <v>153</v>
      </c>
      <c r="C64" s="3" t="s">
        <v>154</v>
      </c>
    </row>
    <row r="65" spans="1:16" ht="43.5">
      <c r="A65" s="7">
        <v>7.14</v>
      </c>
      <c r="B65" s="3" t="s">
        <v>155</v>
      </c>
      <c r="C65" s="3" t="s">
        <v>156</v>
      </c>
    </row>
    <row r="66" spans="1:16">
      <c r="A66" s="7"/>
    </row>
    <row r="67" spans="1:16">
      <c r="A67" s="6">
        <v>8</v>
      </c>
      <c r="B67" s="4" t="s">
        <v>157</v>
      </c>
    </row>
    <row r="68" spans="1:16" ht="29">
      <c r="A68" s="7">
        <v>8.1</v>
      </c>
      <c r="B68" s="3" t="s">
        <v>158</v>
      </c>
      <c r="C68" s="3" t="s">
        <v>159</v>
      </c>
    </row>
    <row r="69" spans="1:16" ht="29">
      <c r="A69" s="7">
        <v>8.1999999999999993</v>
      </c>
      <c r="B69" s="3" t="s">
        <v>160</v>
      </c>
      <c r="C69" s="3" t="s">
        <v>161</v>
      </c>
    </row>
    <row r="70" spans="1:16" ht="72.5">
      <c r="A70" s="7">
        <v>8.3000000000000007</v>
      </c>
      <c r="B70" s="3" t="s">
        <v>162</v>
      </c>
      <c r="C70" s="3" t="s">
        <v>163</v>
      </c>
      <c r="H70" s="3" t="s">
        <v>46</v>
      </c>
      <c r="I70" s="3" t="s">
        <v>47</v>
      </c>
      <c r="L70" s="3" t="b">
        <v>1</v>
      </c>
      <c r="M70" s="3" t="b">
        <v>1</v>
      </c>
      <c r="N70" s="3" t="b">
        <v>1</v>
      </c>
      <c r="O70" s="3" t="b">
        <v>1</v>
      </c>
      <c r="P70" s="3" t="b">
        <v>1</v>
      </c>
    </row>
    <row r="71" spans="1:16" ht="29">
      <c r="A71" s="7">
        <v>8.4</v>
      </c>
      <c r="B71" s="3" t="s">
        <v>164</v>
      </c>
      <c r="C71" s="3" t="s">
        <v>165</v>
      </c>
    </row>
    <row r="72" spans="1:16" ht="43.5">
      <c r="A72" s="7">
        <v>8.5</v>
      </c>
      <c r="B72" s="3" t="s">
        <v>166</v>
      </c>
      <c r="C72" s="3" t="s">
        <v>167</v>
      </c>
    </row>
    <row r="73" spans="1:16" ht="29">
      <c r="A73" s="7">
        <v>8.6</v>
      </c>
      <c r="B73" s="3" t="s">
        <v>168</v>
      </c>
      <c r="C73" s="3" t="s">
        <v>169</v>
      </c>
    </row>
    <row r="74" spans="1:16" ht="29">
      <c r="A74" s="7">
        <v>8.6999999999999993</v>
      </c>
      <c r="B74" s="3" t="s">
        <v>170</v>
      </c>
      <c r="C74" s="3" t="s">
        <v>171</v>
      </c>
    </row>
    <row r="75" spans="1:16" ht="58">
      <c r="A75" s="7">
        <v>8.8000000000000007</v>
      </c>
      <c r="B75" s="3" t="s">
        <v>172</v>
      </c>
      <c r="C75" s="3" t="s">
        <v>173</v>
      </c>
    </row>
    <row r="76" spans="1:16" ht="43.5">
      <c r="A76" s="7">
        <v>8.9</v>
      </c>
      <c r="B76" s="3" t="s">
        <v>174</v>
      </c>
      <c r="C76" s="3" t="s">
        <v>175</v>
      </c>
    </row>
    <row r="77" spans="1:16" ht="72.5">
      <c r="A77" s="7" t="s">
        <v>252</v>
      </c>
      <c r="B77" s="3" t="s">
        <v>176</v>
      </c>
      <c r="C77" s="3" t="s">
        <v>177</v>
      </c>
      <c r="H77" s="3" t="s">
        <v>46</v>
      </c>
      <c r="I77" s="3" t="s">
        <v>47</v>
      </c>
      <c r="L77" s="3" t="b">
        <v>1</v>
      </c>
      <c r="M77" s="3" t="b">
        <v>1</v>
      </c>
      <c r="N77" s="3" t="b">
        <v>1</v>
      </c>
      <c r="O77" s="3" t="b">
        <v>1</v>
      </c>
      <c r="P77" s="3" t="b">
        <v>1</v>
      </c>
    </row>
    <row r="78" spans="1:16" ht="58">
      <c r="A78" s="7">
        <v>8.11</v>
      </c>
      <c r="B78" s="3" t="s">
        <v>178</v>
      </c>
      <c r="C78" s="3" t="s">
        <v>179</v>
      </c>
    </row>
    <row r="79" spans="1:16" ht="43.5">
      <c r="A79" s="7">
        <v>8.1199999999999992</v>
      </c>
      <c r="B79" s="3" t="s">
        <v>180</v>
      </c>
      <c r="C79" s="3" t="s">
        <v>181</v>
      </c>
    </row>
    <row r="80" spans="1:16" ht="43.5">
      <c r="A80" s="7">
        <v>8.1300000000000008</v>
      </c>
      <c r="B80" s="3" t="s">
        <v>182</v>
      </c>
      <c r="C80" s="3" t="s">
        <v>183</v>
      </c>
    </row>
    <row r="81" spans="1:25" ht="29">
      <c r="A81" s="7">
        <v>8.14</v>
      </c>
      <c r="B81" s="3" t="s">
        <v>184</v>
      </c>
      <c r="C81" s="3" t="s">
        <v>185</v>
      </c>
    </row>
    <row r="82" spans="1:25" ht="29">
      <c r="A82" s="7">
        <v>8.15</v>
      </c>
      <c r="B82" s="3" t="s">
        <v>186</v>
      </c>
      <c r="C82" s="3" t="s">
        <v>187</v>
      </c>
    </row>
    <row r="83" spans="1:25" ht="43.5">
      <c r="A83" s="7">
        <v>8.16</v>
      </c>
      <c r="B83" s="3" t="s">
        <v>188</v>
      </c>
      <c r="C83" s="3" t="s">
        <v>189</v>
      </c>
      <c r="H83" s="3" t="s">
        <v>82</v>
      </c>
      <c r="I83" s="3" t="s">
        <v>17</v>
      </c>
      <c r="R83" s="3" t="b">
        <v>1</v>
      </c>
    </row>
    <row r="84" spans="1:25" ht="29">
      <c r="A84" s="7">
        <v>8.17</v>
      </c>
      <c r="B84" s="3" t="s">
        <v>190</v>
      </c>
      <c r="C84" s="3" t="s">
        <v>191</v>
      </c>
    </row>
    <row r="85" spans="1:25" ht="29">
      <c r="A85" s="7">
        <v>8.18</v>
      </c>
      <c r="B85" s="3" t="s">
        <v>192</v>
      </c>
      <c r="C85" s="3" t="s">
        <v>193</v>
      </c>
    </row>
    <row r="86" spans="1:25" ht="72.5">
      <c r="A86" s="7">
        <v>8.19</v>
      </c>
      <c r="B86" s="3" t="s">
        <v>194</v>
      </c>
      <c r="C86" s="3" t="s">
        <v>195</v>
      </c>
      <c r="H86" s="3" t="s">
        <v>46</v>
      </c>
      <c r="I86" s="3" t="s">
        <v>47</v>
      </c>
      <c r="L86" s="3" t="b">
        <v>1</v>
      </c>
      <c r="M86" s="3" t="b">
        <v>1</v>
      </c>
      <c r="N86" s="3" t="b">
        <v>1</v>
      </c>
      <c r="O86" s="3" t="b">
        <v>1</v>
      </c>
      <c r="P86" s="3" t="b">
        <v>1</v>
      </c>
    </row>
    <row r="87" spans="1:25" ht="29">
      <c r="A87" s="7" t="s">
        <v>253</v>
      </c>
      <c r="B87" s="3" t="s">
        <v>196</v>
      </c>
      <c r="C87" s="3" t="s">
        <v>197</v>
      </c>
    </row>
    <row r="88" spans="1:25" ht="29">
      <c r="A88" s="7">
        <v>8.2100000000000009</v>
      </c>
      <c r="B88" s="3" t="s">
        <v>198</v>
      </c>
      <c r="C88" s="3" t="s">
        <v>199</v>
      </c>
    </row>
    <row r="89" spans="1:25" ht="29">
      <c r="A89" s="7">
        <v>8.2200000000000006</v>
      </c>
      <c r="B89" s="3" t="s">
        <v>200</v>
      </c>
      <c r="C89" s="3" t="s">
        <v>201</v>
      </c>
    </row>
    <row r="90" spans="1:25" ht="29">
      <c r="A90" s="7">
        <v>8.23</v>
      </c>
      <c r="B90" s="3" t="s">
        <v>202</v>
      </c>
      <c r="C90" s="3" t="s">
        <v>203</v>
      </c>
    </row>
    <row r="91" spans="1:25" ht="29">
      <c r="A91" s="7">
        <v>8.24</v>
      </c>
      <c r="B91" s="3" t="s">
        <v>204</v>
      </c>
      <c r="C91" s="3" t="s">
        <v>205</v>
      </c>
    </row>
    <row r="92" spans="1:25" ht="29">
      <c r="A92" s="7">
        <v>8.25</v>
      </c>
      <c r="B92" s="3" t="s">
        <v>206</v>
      </c>
      <c r="C92" s="3" t="s">
        <v>207</v>
      </c>
    </row>
    <row r="93" spans="1:25" ht="29">
      <c r="A93" s="7">
        <v>8.26</v>
      </c>
      <c r="B93" s="3" t="s">
        <v>208</v>
      </c>
      <c r="C93" s="3" t="s">
        <v>209</v>
      </c>
    </row>
    <row r="94" spans="1:25" ht="43.5">
      <c r="A94" s="7">
        <v>8.27</v>
      </c>
      <c r="B94" s="3" t="s">
        <v>210</v>
      </c>
      <c r="C94" s="3" t="s">
        <v>211</v>
      </c>
      <c r="H94" s="3" t="s">
        <v>50</v>
      </c>
      <c r="I94" s="3" t="s">
        <v>24</v>
      </c>
      <c r="Y94" s="3" t="b">
        <v>1</v>
      </c>
    </row>
    <row r="95" spans="1:25" ht="29">
      <c r="A95" s="7">
        <v>8.2799999999999994</v>
      </c>
      <c r="B95" s="3" t="s">
        <v>212</v>
      </c>
      <c r="C95" s="3" t="s">
        <v>213</v>
      </c>
    </row>
    <row r="96" spans="1:25" ht="29">
      <c r="A96" s="7">
        <v>8.2899999999999991</v>
      </c>
      <c r="B96" s="3" t="s">
        <v>214</v>
      </c>
      <c r="C96" s="3" t="s">
        <v>215</v>
      </c>
    </row>
    <row r="97" spans="1:19" ht="29">
      <c r="A97" s="7" t="s">
        <v>254</v>
      </c>
      <c r="B97" s="3" t="s">
        <v>216</v>
      </c>
      <c r="C97" s="3" t="s">
        <v>217</v>
      </c>
    </row>
    <row r="98" spans="1:19" ht="29">
      <c r="A98" s="7">
        <v>8.31</v>
      </c>
      <c r="B98" s="3" t="s">
        <v>218</v>
      </c>
      <c r="C98" s="3" t="s">
        <v>219</v>
      </c>
    </row>
    <row r="99" spans="1:19" ht="29">
      <c r="A99" s="7">
        <v>8.32</v>
      </c>
      <c r="B99" s="3" t="s">
        <v>220</v>
      </c>
      <c r="C99" s="3" t="s">
        <v>221</v>
      </c>
    </row>
    <row r="100" spans="1:19" ht="29">
      <c r="A100" s="7">
        <v>8.33</v>
      </c>
      <c r="B100" s="3" t="s">
        <v>222</v>
      </c>
      <c r="C100" s="3" t="s">
        <v>223</v>
      </c>
    </row>
    <row r="101" spans="1:19" ht="43.5">
      <c r="A101" s="7">
        <v>8.34</v>
      </c>
      <c r="B101" s="3" t="s">
        <v>224</v>
      </c>
      <c r="C101" s="3" t="s">
        <v>225</v>
      </c>
      <c r="H101" s="3" t="s">
        <v>226</v>
      </c>
      <c r="I101" s="3" t="s">
        <v>18</v>
      </c>
      <c r="S101" s="3" t="b">
        <v>1</v>
      </c>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0000000}">
          <x14:formula1>
            <xm:f>'DO NOT CHANGE or DELETE'!$B$2:$B$4</xm:f>
          </x14:formula1>
          <xm:sqref>G2:G495</xm:sqref>
        </x14:dataValidation>
        <x14:dataValidation type="list" allowBlank="1" showInputMessage="1" showErrorMessage="1" xr:uid="{00000000-0002-0000-0000-000001000000}">
          <x14:formula1>
            <xm:f>'F:\Users\Zain\OneDrive - iMS Systems\0 - Important IMS Docs\0 - Compliance\2 - Updated Versions + Latest New Toolkits\2 - To Update Again Again\Previous Version\[iso27001-2022 Annex A v1.xlsx]DO NOT CHANGE or DELETE'!#REF!</xm:f>
          </x14:formula1>
          <xm:sqref>J2:J495 K2:K495 L2:L495 M2:M495 N2:N495 O2:O495 P2:P495 U2:U495 Q2:T495 V2:AA495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6"/>
  <sheetViews>
    <sheetView workbookViewId="0">
      <selection activeCell="D3" sqref="D3"/>
    </sheetView>
  </sheetViews>
  <sheetFormatPr defaultColWidth="9.1796875" defaultRowHeight="14.5"/>
  <cols>
    <col min="2" max="4" width="30.7265625" customWidth="1"/>
    <col min="5" max="5" width="42.26953125" customWidth="1"/>
    <col min="6" max="6" width="22.7265625" customWidth="1"/>
  </cols>
  <sheetData>
    <row r="2" spans="2:5" ht="23.5">
      <c r="C2" s="1" t="s">
        <v>227</v>
      </c>
      <c r="D2" s="1" t="s">
        <v>228</v>
      </c>
    </row>
    <row r="5" spans="2:5" ht="23.5">
      <c r="B5" s="1" t="s">
        <v>229</v>
      </c>
      <c r="C5" s="1" t="s">
        <v>230</v>
      </c>
      <c r="D5" s="1" t="s">
        <v>231</v>
      </c>
      <c r="E5" s="1" t="s">
        <v>232</v>
      </c>
    </row>
    <row r="6" spans="2:5" ht="23.5">
      <c r="B6" s="2" t="s">
        <v>233</v>
      </c>
      <c r="C6" s="2"/>
      <c r="D6" s="2"/>
      <c r="E6" s="2">
        <f t="shared" ref="E6:E12" si="0">SUM(C6:D6)</f>
        <v>0</v>
      </c>
    </row>
    <row r="7" spans="2:5" ht="23.5">
      <c r="B7" s="2" t="s">
        <v>234</v>
      </c>
      <c r="C7" s="2"/>
      <c r="D7" s="2"/>
      <c r="E7" s="2">
        <f t="shared" si="0"/>
        <v>0</v>
      </c>
    </row>
    <row r="8" spans="2:5" ht="23.5">
      <c r="B8" s="2" t="s">
        <v>235</v>
      </c>
      <c r="C8" s="2"/>
      <c r="D8" s="2"/>
      <c r="E8" s="2">
        <f t="shared" si="0"/>
        <v>0</v>
      </c>
    </row>
    <row r="9" spans="2:5" ht="23.5">
      <c r="B9" s="2" t="s">
        <v>236</v>
      </c>
      <c r="C9" s="2"/>
      <c r="D9" s="2"/>
      <c r="E9" s="2">
        <f t="shared" si="0"/>
        <v>0</v>
      </c>
    </row>
    <row r="10" spans="2:5" ht="23.5">
      <c r="B10" s="2" t="s">
        <v>237</v>
      </c>
      <c r="C10" s="2"/>
      <c r="D10" s="2"/>
      <c r="E10" s="2">
        <f t="shared" si="0"/>
        <v>0</v>
      </c>
    </row>
    <row r="11" spans="2:5" ht="23.5">
      <c r="B11" s="2" t="s">
        <v>238</v>
      </c>
      <c r="C11" s="2"/>
      <c r="D11" s="2"/>
      <c r="E11" s="2">
        <f t="shared" si="0"/>
        <v>0</v>
      </c>
    </row>
    <row r="12" spans="2:5" ht="23.5">
      <c r="B12" s="2" t="s">
        <v>239</v>
      </c>
      <c r="C12" s="2"/>
      <c r="D12" s="2"/>
      <c r="E12" s="2">
        <f t="shared" si="0"/>
        <v>0</v>
      </c>
    </row>
    <row r="15" spans="2:5" ht="23.5">
      <c r="B15" s="1" t="s">
        <v>240</v>
      </c>
      <c r="C15" s="1" t="s">
        <v>241</v>
      </c>
      <c r="D15" s="1" t="s">
        <v>242</v>
      </c>
    </row>
    <row r="16" spans="2:5" ht="23.5">
      <c r="B16" s="2">
        <f>COUNTIF(Toolkit!G1:G495,"Clause")</f>
        <v>0</v>
      </c>
      <c r="C16" s="2">
        <f>COUNTIF(Toolkit!G1:G495,"Control")</f>
        <v>0</v>
      </c>
      <c r="D16" s="2">
        <f>COUNTIF(Toolkit!G1:G495,"Sub-control")</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8"/>
  <sheetViews>
    <sheetView workbookViewId="0">
      <selection activeCell="B8" sqref="B8"/>
    </sheetView>
  </sheetViews>
  <sheetFormatPr defaultColWidth="9.1796875" defaultRowHeight="14.5"/>
  <cols>
    <col min="2" max="2" width="12.1796875" customWidth="1"/>
    <col min="4" max="4" width="41.7265625" customWidth="1"/>
  </cols>
  <sheetData>
    <row r="2" spans="2:4">
      <c r="B2" t="s">
        <v>229</v>
      </c>
    </row>
    <row r="3" spans="2:4">
      <c r="B3" t="s">
        <v>243</v>
      </c>
    </row>
    <row r="4" spans="2:4">
      <c r="B4" t="s">
        <v>244</v>
      </c>
    </row>
    <row r="5" spans="2:4">
      <c r="D5" t="s">
        <v>245</v>
      </c>
    </row>
    <row r="8" spans="2:4">
      <c r="B8" t="b">
        <v>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6F54CC9C9558840B609D095F7B1EF36" ma:contentTypeVersion="11" ma:contentTypeDescription="Create a new document." ma:contentTypeScope="" ma:versionID="729f03b4d84c5fbadd56f30895ea0329">
  <xsd:schema xmlns:xsd="http://www.w3.org/2001/XMLSchema" xmlns:xs="http://www.w3.org/2001/XMLSchema" xmlns:p="http://schemas.microsoft.com/office/2006/metadata/properties" xmlns:ns3="87ebd339-72c3-492d-8e35-a2eec32b5788" xmlns:ns4="825e26ea-14c0-43ab-b2b0-03e249065956" targetNamespace="http://schemas.microsoft.com/office/2006/metadata/properties" ma:root="true" ma:fieldsID="49a51613db825fa281f14f687696ea00" ns3:_="" ns4:_="">
    <xsd:import namespace="87ebd339-72c3-492d-8e35-a2eec32b5788"/>
    <xsd:import namespace="825e26ea-14c0-43ab-b2b0-03e249065956"/>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ebd339-72c3-492d-8e35-a2eec32b57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25e26ea-14c0-43ab-b2b0-03e249065956"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296538-9B7B-4E58-B428-DF554499E5EA}">
  <ds:schemaRefs/>
</ds:datastoreItem>
</file>

<file path=customXml/itemProps2.xml><?xml version="1.0" encoding="utf-8"?>
<ds:datastoreItem xmlns:ds="http://schemas.openxmlformats.org/officeDocument/2006/customXml" ds:itemID="{838E0AA6-2B44-4464-9A29-85E184514FA5}">
  <ds:schemaRefs/>
</ds:datastoreItem>
</file>

<file path=customXml/itemProps3.xml><?xml version="1.0" encoding="utf-8"?>
<ds:datastoreItem xmlns:ds="http://schemas.openxmlformats.org/officeDocument/2006/customXml" ds:itemID="{3BCF17A8-A02F-4F2D-BFA6-2F429B91C0E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Toolkit</vt:lpstr>
      <vt:lpstr>Overview</vt:lpstr>
      <vt:lpstr>DO NOT CHANGE or DELETE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dc:creator>
  <cp:lastModifiedBy>ASUS</cp:lastModifiedBy>
  <dcterms:created xsi:type="dcterms:W3CDTF">2021-03-08T18:00:00Z</dcterms:created>
  <dcterms:modified xsi:type="dcterms:W3CDTF">2023-06-14T14:53:30Z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0x01010016F54CC9C9558840B609D095F7B1EF36</vt:lpwstr>
  </property>
  <property fmtid="{D5CDD505-2E9C-101B-9397-08002B2CF9AE}" pid="3" name="ICV">
    <vt:lpwstr>1BDCDC808A574752A8592CFF76F214A0</vt:lpwstr>
  </property>
  <property fmtid="{D5CDD505-2E9C-101B-9397-08002B2CF9AE}" pid="4" name="KSOProductBuildVer">
    <vt:lpwstr>2057-11.2.0.11537</vt:lpwstr>
  </property>
</Properties>
</file>