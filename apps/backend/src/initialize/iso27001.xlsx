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95"/>
  </bookViews>
  <sheets>
    <sheet name="Toolkit" sheetId="1" r:id="rId1"/>
    <sheet name="Overview" sheetId="2" r:id="rId2"/>
    <sheet name="DO NOT CHANGE or DELETE" sheetId="3" r:id="rId3"/>
  </sheets>
  <externalReferences>
    <externalReference r:id="rId7"/>
    <externalReference r:id="rId8"/>
  </externalReferences>
  <calcPr calcId="144525"/>
</workbook>
</file>

<file path=xl/sharedStrings.xml><?xml version="1.0" encoding="utf-8"?>
<sst xmlns="http://schemas.openxmlformats.org/spreadsheetml/2006/main" count="767" uniqueCount="490">
  <si>
    <t>clause</t>
  </si>
  <si>
    <t>title</t>
  </si>
  <si>
    <t>description</t>
  </si>
  <si>
    <t>annex</t>
  </si>
  <si>
    <t>note</t>
  </si>
  <si>
    <t>UI</t>
  </si>
  <si>
    <t>type</t>
  </si>
  <si>
    <t>applicable_modules_label</t>
  </si>
  <si>
    <t>applicable_modules</t>
  </si>
  <si>
    <t>leaves</t>
  </si>
  <si>
    <t>expensereports</t>
  </si>
  <si>
    <t>hardwareassets</t>
  </si>
  <si>
    <t>softwareassets</t>
  </si>
  <si>
    <t>peopleassets</t>
  </si>
  <si>
    <t>premiseassets</t>
  </si>
  <si>
    <t>informationassets</t>
  </si>
  <si>
    <t>risks</t>
  </si>
  <si>
    <t>incidents</t>
  </si>
  <si>
    <t>audits</t>
  </si>
  <si>
    <t>managementreviews</t>
  </si>
  <si>
    <t>kpiobjectives</t>
  </si>
  <si>
    <t>cips</t>
  </si>
  <si>
    <t>customers</t>
  </si>
  <si>
    <t>suppliers</t>
  </si>
  <si>
    <t>documenttrees</t>
  </si>
  <si>
    <t>tasks</t>
  </si>
  <si>
    <t>calenderevents</t>
  </si>
  <si>
    <t>Context of the organisation</t>
  </si>
  <si>
    <t>Clause</t>
  </si>
  <si>
    <t>Understanding the organisation and its context</t>
  </si>
  <si>
    <t>&lt;p&gt;The organisation shall determine internal and external issues relevant to its purpose and that affect its ability to achieve the intended outcome(s) of its information security management system.&lt;/p&gt;</t>
  </si>
  <si>
    <t>&lt;p&gt;Determining these issues refers to establishing the external and internal context of the organisation considered in Clause 5.3 of ISO 31000:2009.&lt;/p&gt;</t>
  </si>
  <si>
    <t>Control</t>
  </si>
  <si>
    <t>Understanding the needs and expectations of interested parties</t>
  </si>
  <si>
    <t>&lt;p&gt;The requirements of interested parties may include legal and regulatory requirements and contractual obligations.&lt;/p&gt;</t>
  </si>
  <si>
    <t>4.2.a</t>
  </si>
  <si>
    <t>Interested parties that are relevant to the information security management system</t>
  </si>
  <si>
    <t>&lt;p&gt;The organisation shall determine interested parties that are relevant to the information security management system.&lt;/p&gt;</t>
  </si>
  <si>
    <t>Sub-control</t>
  </si>
  <si>
    <t>4.2.b</t>
  </si>
  <si>
    <t>The requirements of these interested parties relevant to information security</t>
  </si>
  <si>
    <t>&lt;p&gt;The organisation shall determine the requirements of these interested parties relevant to information security.&lt;/p&gt;</t>
  </si>
  <si>
    <t>Determining the scope of the information security management system</t>
  </si>
  <si>
    <t>&lt;p&gt;The organisation shall determine the boundaries and applicability of the information security management system to establish its scope.&lt;/p&gt;
&lt;p&gt;The scope shall be available as documented information.&lt;/p&gt;</t>
  </si>
  <si>
    <t>4.3.a</t>
  </si>
  <si>
    <t>The external and internal issues referred to in 4.1</t>
  </si>
  <si>
    <t>&lt;p&gt;The organisation shall determine the boundaries and applicability of the information security management system to establish its scope.&lt;/p&gt;
&lt;p&gt;When determining this scope, the organisation shall consider the external and internal issues referred to in 4.1.&lt;/p&gt;</t>
  </si>
  <si>
    <t>4.3.b</t>
  </si>
  <si>
    <t>The requirements referred to in 4.2</t>
  </si>
  <si>
    <t>&lt;p&gt;The organisation shall determine the boundaries and applicability of the information security management system to establish its scope.&lt;/p&gt;
&lt;p&gt;When determining this scope, the organisation shall consider the requirements referred to in 4.2.&lt;/p&gt;</t>
  </si>
  <si>
    <t>4.3.c</t>
  </si>
  <si>
    <t>Interfaces and dependencies between activities performed by the organisation, and those that are performed by other organisations</t>
  </si>
  <si>
    <t>&lt;p&gt;The organisation shall determine the boundaries and applicability of the information security management system to establish its scope.&lt;/p&gt;
&lt;p&gt;When determining this scope, the organisation shall consider interfaces and dependencies between activities performed by the organisation, and those that are performed by other organisations.&lt;/p&gt;</t>
  </si>
  <si>
    <t>Information security management system</t>
  </si>
  <si>
    <t>&lt;p&gt;The organisation shall establish, implement, maintain and continually improve an information security management system, in accordance with the requirements of this International Standard.&lt;/p&gt;</t>
  </si>
  <si>
    <t>Continual Improvement</t>
  </si>
  <si>
    <t>Leadership</t>
  </si>
  <si>
    <t>Leadership and commitment</t>
  </si>
  <si>
    <t>5.1.a</t>
  </si>
  <si>
    <t>Ensuring the information security policy and the information security objectives are established and are compatible with the strategic direction of the organisation</t>
  </si>
  <si>
    <t>&lt;p&gt;Top management shall demonstrate leadership and commitment with respect to the information security management system by ensuring the information security policy and the information security objectives are established and are compatible with the strategic direction of the organisation.&lt;/p&gt;</t>
  </si>
  <si>
    <t>5.1.b</t>
  </si>
  <si>
    <t>Ensuring the integration of the information security management system requirements into the organisation’s processes</t>
  </si>
  <si>
    <t>&lt;p&gt;Top management shall demonstrate leadership and commitment with respect to the information security management system by ensuring the integration of the information security management system requirements into the organisation’s processes.&lt;/p&gt;</t>
  </si>
  <si>
    <t>5.1.c</t>
  </si>
  <si>
    <t>Ensuring that the resources needed for the information security management system are available</t>
  </si>
  <si>
    <t>&lt;p&gt;Top management shall demonstrate leadership and commitment with respect to the information security management system by ensuring that the resources needed for the information security management system are available.&lt;/p&gt;</t>
  </si>
  <si>
    <t>5.1.d</t>
  </si>
  <si>
    <t>Communicating the importance of effective information security management and of conforming to the information security management system requirements</t>
  </si>
  <si>
    <t>&lt;p&gt;Top management shall demonstrate leadership and commitment with respect to the information security management system by communicating the importance of effective information security management and of conforming to the information security management system requirements.&lt;/p&gt;</t>
  </si>
  <si>
    <t>5.1.e</t>
  </si>
  <si>
    <t>Ensuring that the information security management system achieves its intended outcome(s)</t>
  </si>
  <si>
    <t>&lt;p&gt;Top management shall demonstrate leadership and commitment with respect to the information security management system by ensuring that the information security management system achieves its intended outcome(s).&lt;/p&gt;</t>
  </si>
  <si>
    <t>5.1.f</t>
  </si>
  <si>
    <t>Directing and supporting persons to contribute to the effectiveness of the information security management system</t>
  </si>
  <si>
    <t>&lt;p&gt;Top management shall demonstrate leadership and commitment with respect to the information security management system by directing and supporting persons to contribute to the effectiveness of the information security management system.&lt;/p&gt;</t>
  </si>
  <si>
    <t>5.1.g</t>
  </si>
  <si>
    <t>Promoting continual improvement</t>
  </si>
  <si>
    <t>&lt;p&gt;Top management shall demonstrate leadership and commitment with respect to the information security management system by promoting continual improvement.&lt;/p&gt;</t>
  </si>
  <si>
    <t>5.1.h</t>
  </si>
  <si>
    <t>Supporting other relevant management roles to demonstrate their leadership as it applies to their areas of responsibility</t>
  </si>
  <si>
    <t>&lt;p&gt;Top management shall demonstrate leadership and commitment with respect to the information security management system by supporting other relevant management roles to demonstrate their leadership as it applies to their areas of responsibility.&lt;/p&gt;</t>
  </si>
  <si>
    <t>Policy</t>
  </si>
  <si>
    <t>5.2.a</t>
  </si>
  <si>
    <t>Is appropriate to the purpose of the organisation</t>
  </si>
  <si>
    <t>&lt;p&gt;Top management shall establish an information security policy that is appropriate to the purpose of the organisation.&lt;/p&gt;</t>
  </si>
  <si>
    <t>5.2.b</t>
  </si>
  <si>
    <t>Includes information security objectives (see 6.2) or provides the framework for setting information security objectives</t>
  </si>
  <si>
    <t>&lt;p&gt;Top management shall establish an information security policy that includes information security objectives (see 6.2) or provides the framework for setting information security objectives.&lt;/p&gt;</t>
  </si>
  <si>
    <t>5.2.c</t>
  </si>
  <si>
    <t>Includes a commitment to satisfy applicable requirements related to information security</t>
  </si>
  <si>
    <t>&lt;p&gt;Top management shall establish an information security policy that includes a commitment to satisfy applicable requirements related to information security.&lt;/p&gt;</t>
  </si>
  <si>
    <t>5.2.d</t>
  </si>
  <si>
    <t>Includes a commitment to continual improvement of the information security management system</t>
  </si>
  <si>
    <t>&lt;p&gt;Top management shall establish an information security policy that includes a commitment to continual improvement of the information security management system.&lt;/p&gt;</t>
  </si>
  <si>
    <t>5.2.e</t>
  </si>
  <si>
    <t>Be available as documented information</t>
  </si>
  <si>
    <t>&lt;p&gt;The information security policy shall be available as documented information.&lt;/p&gt;</t>
  </si>
  <si>
    <t>Document Management</t>
  </si>
  <si>
    <t>5.2.f</t>
  </si>
  <si>
    <t>Be communicated within the organisation</t>
  </si>
  <si>
    <t>&lt;p&gt;The information security policy shall be communicated within the organisation.&lt;/p&gt;</t>
  </si>
  <si>
    <t>5.2.g</t>
  </si>
  <si>
    <t>Be available to interested parties, as appropriate</t>
  </si>
  <si>
    <t>&lt;p&gt;The information security policy shall be available to interested parties, as appropriate.&lt;/p&gt;</t>
  </si>
  <si>
    <t>Organisational roles, responsibilities and authorities</t>
  </si>
  <si>
    <t>&lt;p&gt;Top management shall ensure that the responsibilities and authorities for roles relevant to information security are assigned and communicated.&lt;/p&gt;</t>
  </si>
  <si>
    <t>&lt;p&gt;Top management may also assign responsibilities and authorities for reporting performance of the information security management system within the organisation.&lt;/p&gt;</t>
  </si>
  <si>
    <t>5.3.a</t>
  </si>
  <si>
    <t>Ensuring that the information security management system conforms to the requirements of this International Standard</t>
  </si>
  <si>
    <t>&lt;p&gt;Top management shall assign the responsibility and authority for ensuring that the information security management system conforms to the requirements of this International Standard.&lt;/p&gt;</t>
  </si>
  <si>
    <t>5.3.b</t>
  </si>
  <si>
    <t>Reporting on the performance of the information security management system to top management</t>
  </si>
  <si>
    <t>&lt;p&gt;Top management shall assign the responsibility and authority for reporting on the performance of the information security management system to top management.&lt;/p&gt;</t>
  </si>
  <si>
    <t>Planning</t>
  </si>
  <si>
    <t>Actions to address risks and opportunities</t>
  </si>
  <si>
    <t>6.1.1</t>
  </si>
  <si>
    <t>General</t>
  </si>
  <si>
    <t>6.1.1.a</t>
  </si>
  <si>
    <t>Ensure the information security management system can achieve its intended outcome(s)</t>
  </si>
  <si>
    <t>&lt;p&gt;When planning for the information security management system, the organisation shall consider the issues referred to in 4.1 and the requirements referred to in 4.2 and determine the risks and opportunities that need to be addressed to ensure the information security management system can achieve its intended outcome(s).&lt;/p&gt;</t>
  </si>
  <si>
    <t>Risk Management and Continual Improvement</t>
  </si>
  <si>
    <t>risks, cips</t>
  </si>
  <si>
    <t>6.1.1.b</t>
  </si>
  <si>
    <t>Prevent, or reduce, undesired effects</t>
  </si>
  <si>
    <t>&lt;p&gt;When planning for the information security management system, the organisation shall consider the issues referred to in 4.1 and the requirements referred to in 4.2 and determine the risks and opportunities that need to be addressed to prevent, or reduce, undesired effects.&lt;/p&gt;</t>
  </si>
  <si>
    <t>6.1.1.c</t>
  </si>
  <si>
    <t>Achieve continual improvement</t>
  </si>
  <si>
    <t>&lt;p&gt;When planning for the information security management system, the organisation shall consider the issues referred to in 4.1 and the requirements referred to in 4.2 and determine the risks and opportunities that need to be addressed to achieve continual improvement.&lt;/p&gt;</t>
  </si>
  <si>
    <t>6.1.1.d</t>
  </si>
  <si>
    <t>Actions to address these risks and opportunities</t>
  </si>
  <si>
    <t>&lt;p&gt;The organisation shall plan actions to address these risks and opportunities.&lt;/p&gt;</t>
  </si>
  <si>
    <t>6.1.1.e</t>
  </si>
  <si>
    <t>How to:</t>
  </si>
  <si>
    <t>&lt;p&gt;The organisation shall plan how to:&lt;/p&gt;</t>
  </si>
  <si>
    <t>6.1.1.e.1</t>
  </si>
  <si>
    <t>Integrate and implement these actions into its information security management system processes</t>
  </si>
  <si>
    <t>&lt;p&gt;The organisation shall plan how to integrate and implement these actions into its information security management system processes.&lt;/p&gt;</t>
  </si>
  <si>
    <t>6.1.1.e.2</t>
  </si>
  <si>
    <t>Evaluate the effectiveness of these actions</t>
  </si>
  <si>
    <t>&lt;p&gt;The organisation shall plan how to evaluate the effectiveness of these actions.&lt;/p&gt;</t>
  </si>
  <si>
    <t>6.1.2</t>
  </si>
  <si>
    <t>Information security risk assessment</t>
  </si>
  <si>
    <t>&lt;p&gt;The organisation shall retain documented information about the information security risk assessment process.&lt;/p&gt;</t>
  </si>
  <si>
    <t>6.1.2.a</t>
  </si>
  <si>
    <t>Establishes and maintains information security risk criteria that include:</t>
  </si>
  <si>
    <t>&lt;p&gt;The organisation shall define and apply an information security risk assessment process that establishes and maintains information security risk criteria that include:&lt;/p&gt;</t>
  </si>
  <si>
    <t>6.1.2.a.1</t>
  </si>
  <si>
    <t>The risk acceptance criteria</t>
  </si>
  <si>
    <t>&lt;p&gt;The organisation shall define and apply an information security risk assessment process that establishes and maintains information security risk criteria that include the risk acceptance criteria.&lt;/p&gt;</t>
  </si>
  <si>
    <t>Risk Management</t>
  </si>
  <si>
    <t>6.1.2.a.2</t>
  </si>
  <si>
    <t>Criteria for performing information security risk assessments</t>
  </si>
  <si>
    <t>&lt;p&gt;The organisation shall define and apply an information security risk assessment process that establishes and maintains information security risk criteria that include criteria for performing information security risk assessments.&lt;/p&gt;</t>
  </si>
  <si>
    <t>6.1.2.b</t>
  </si>
  <si>
    <t>Ensures that repeated information security risk assessments produce consistent, valid and comparable results</t>
  </si>
  <si>
    <t>&lt;p&gt;The organisation shall define and apply an information security risk assessment process that ensures that repeated information security risk assessments produce consistent, valid and comparable results.&lt;/p&gt;</t>
  </si>
  <si>
    <t>6.1.2.c</t>
  </si>
  <si>
    <t>Identifies the information security risks</t>
  </si>
  <si>
    <t>&lt;p&gt;The organisation shall define and apply an information security risk assessment process that identifies the information security risks.&lt;/p&gt;</t>
  </si>
  <si>
    <t>6.1.2.c.1</t>
  </si>
  <si>
    <t>Apply the information security risk assessment process to identify risks associated with the loss of confidentiality, integrity and availability for information within the scope of the information security management system</t>
  </si>
  <si>
    <t>&lt;p&gt;The organisation shall define and apply an information security risk assessment process that identifies the information security risks and apply the information security risk assessment process to identify risks associated with the loss of confidentiality, integrity and availability for information within the scope of the information security management system.&lt;/p&gt;</t>
  </si>
  <si>
    <t>6.1.2.c.2</t>
  </si>
  <si>
    <t>Identify the risk owners</t>
  </si>
  <si>
    <t>&lt;p&gt;The organisation shall define and apply an information security risk assessment process that identifies the information security risks and identify the risk owners.&lt;/p&gt;</t>
  </si>
  <si>
    <t>6.1.2.d</t>
  </si>
  <si>
    <t>Analyses the information security risks</t>
  </si>
  <si>
    <t>&lt;p&gt;The organisation shall define and apply an information security risk assessment process that analyses the information security risks.&lt;/p&gt;</t>
  </si>
  <si>
    <t>6.1.2.d.1</t>
  </si>
  <si>
    <t>Assess the potential consequences that would result if the risks identified in 6.1.2 c) 1) were to materialise</t>
  </si>
  <si>
    <t>&lt;p&gt;The organisation shall define and apply an information security risk assessment process that analyses the information security risks and assess the potential consequences that would result if the risks identified in 6.1.2 c) 1) were to materialise.&lt;/p&gt;</t>
  </si>
  <si>
    <t>6.1.2.d.2</t>
  </si>
  <si>
    <t>Assess the realistic likelihood of the occurrence of the risks identified in 6.1.2 c) 1)</t>
  </si>
  <si>
    <t>&lt;p&gt;The organisation shall define and apply an information security risk assessment process that analyses the information security risks and assess the realistic likelihood of the occurrence of the risks identified in 6.1.2 c) 1).&lt;/p&gt;</t>
  </si>
  <si>
    <t>6.1.2.d.3</t>
  </si>
  <si>
    <t>Determine the levels of risk</t>
  </si>
  <si>
    <t>&lt;p&gt;The organisation shall define and apply an information security risk assessment process that analyses the information security risks and determine the levels of risk.&lt;/p&gt;</t>
  </si>
  <si>
    <t>6.1.2.e</t>
  </si>
  <si>
    <t>Evaluates the information security risks</t>
  </si>
  <si>
    <t>&lt;p&gt;The organisation shall define and apply an information security risk assessment process that evaluates the information security risks.&lt;/p&gt;</t>
  </si>
  <si>
    <t>6.1.2.e.1</t>
  </si>
  <si>
    <t>Compare the results of risk analysis with the risk criteria established in 6.1.2 a)</t>
  </si>
  <si>
    <t>&lt;p&gt;The organisation shall define and apply an information security risk assessment process that evaluates the information security risks and compare the results of risk analysis with the risk criteria established in 6.1.2 a).&lt;/p&gt;</t>
  </si>
  <si>
    <t>6.1.2.e.2</t>
  </si>
  <si>
    <t>Prioritise the analysed risks for risk treatment</t>
  </si>
  <si>
    <t>&lt;p&gt;The organisation shall define and apply an information security risk assessment process that evaluates the information security risks and prioritise the analysed risks for risk treatment.&lt;/p&gt;</t>
  </si>
  <si>
    <t>6.1.3</t>
  </si>
  <si>
    <t>Information security risk treatment</t>
  </si>
  <si>
    <t>&lt;p&gt;The organisation shall retain documented information about the information security risk treatment process.&lt;/p&gt;</t>
  </si>
  <si>
    <t>&lt;p&gt;The information security risk assessment and treatment process in this International Standard aligns with the principles and generic guidelines provided in ISO 31000.&lt;/p&gt;</t>
  </si>
  <si>
    <t>6.1.3.a</t>
  </si>
  <si>
    <t>Select appropriate information security risk treatment options, taking account of the risk assessment results</t>
  </si>
  <si>
    <t>&lt;p&gt;The organisation shall define and apply an information security risk treatment process to select appropriate information security risk treatment options, taking account of the risk assessment results.&lt;/p&gt;</t>
  </si>
  <si>
    <t>6.1.3.b</t>
  </si>
  <si>
    <t>Determine all controls that are necessary to implement the information security risk treatment option(s) chosen</t>
  </si>
  <si>
    <t>&lt;p&gt;The organisation shall define and apply an information security risk treatment process to determine all controls that are necessary to implement the information security risk treatment option(s) chosen.&lt;/p&gt;</t>
  </si>
  <si>
    <t>&lt;p&gt;Organisations can design controls as required, or identify them from any source.&lt;/p&gt;</t>
  </si>
  <si>
    <t>6.1.3.c</t>
  </si>
  <si>
    <t>Compare the controls determined in 6.1.3 b) above with those in Annex A and verify that no necessary controls have been omitted</t>
  </si>
  <si>
    <t>&lt;p&gt;The organisation shall define and apply an information security risk treatment process to compare the controls determined in 6.1.3 b) above with those in Annex A and verify that no necessary controls have been omitted.&lt;/p&gt;</t>
  </si>
  <si>
    <t>&lt;ol&gt;
 &lt;li&gt;Annex A contains a comprehensive list of control objectives and controls. Users of this International Standard are directed to Annex A to ensure that no necessary controls are overlooked.&lt;/li&gt;
 &lt;li&gt;Control objectives are implicitly included in the controls chosen. The control objectives and controls listed in Annex A are not exhaustive and additional control objectives and controls may be needed.&lt;/li&gt;
&lt;/ol&gt;</t>
  </si>
  <si>
    <t>6.1.3.d</t>
  </si>
  <si>
    <t>Produce a Statement of Applicability that contains the necessary controls (see 6.1.3 b) and c)) and justification for inclusions, whether they are implemented or not, and the justification for exclusions of controls from Annex A</t>
  </si>
  <si>
    <t>&lt;p&gt;The organisation shall define and apply an information security risk treatment process to produce a Statement of Applicability that contains the necessary controls (see 6.1.3 b) and c)) and justification for inclusions, whether they are implemented or not, and the justification for exclusions of controls from Annex A.&lt;/p&gt;</t>
  </si>
  <si>
    <t>6.1.3.e</t>
  </si>
  <si>
    <t>Formulate an information security risk treatment plan</t>
  </si>
  <si>
    <t>&lt;p&gt;The organisation shall define and apply an information security risk treatment process to formulate an information security risk treatment plan.&lt;/p&gt;</t>
  </si>
  <si>
    <t>6.1.3.f</t>
  </si>
  <si>
    <t>Obtain risk owners’ approval of the information security risk treatment plan and acceptance of the residual information security risks</t>
  </si>
  <si>
    <t>&lt;p&gt;The organisation shall define and apply an information security risk treatment process to obtain risk owners’ approval of the information security risk treatment plan and acceptance of the residual information security risks.&lt;/p&gt;</t>
  </si>
  <si>
    <t>Information security objectives and plans to achieve them</t>
  </si>
  <si>
    <t>&lt;p&gt;The organisation shall establish information security objectives at relevant functions and levels.&lt;/p&gt;
&lt;p&gt;The organisation shall retain documented information on the information security objectives.&lt;/p&gt;</t>
  </si>
  <si>
    <t>6.2.a</t>
  </si>
  <si>
    <t>Be consistent with the information security policy</t>
  </si>
  <si>
    <t>&lt;p&gt;The information security objectives shall be consistent with the information security policy.&lt;/p&gt;</t>
  </si>
  <si>
    <t>6.2.b</t>
  </si>
  <si>
    <t>Be measurable (if practicable)</t>
  </si>
  <si>
    <t>&lt;p&gt;The information security objectives shall be measurable (if practicable).&lt;/p&gt;</t>
  </si>
  <si>
    <t>6.2.c</t>
  </si>
  <si>
    <t>Take into account applicable information security requirements, and risk assessment and risk treatment results</t>
  </si>
  <si>
    <t>&lt;p&gt;The information security objectives shall take into account applicable information security requirements, and risk assessment and risk treatment results.&lt;/p&gt;</t>
  </si>
  <si>
    <t>6.2.d</t>
  </si>
  <si>
    <t>Be communicated</t>
  </si>
  <si>
    <t>&lt;p&gt;The information security objectives shall be communicated.&lt;/p&gt;</t>
  </si>
  <si>
    <t>6.2.e</t>
  </si>
  <si>
    <t>Be updated as appropriate</t>
  </si>
  <si>
    <t>&lt;p&gt;The information security objectives shall be updated as appropriate.&lt;/p&gt;</t>
  </si>
  <si>
    <t>6.2.f</t>
  </si>
  <si>
    <t>What will be done</t>
  </si>
  <si>
    <t>&lt;p&gt;When planning how to achieve its information security objectives, the organisation shall determine what will be done.&lt;/p&gt;</t>
  </si>
  <si>
    <t>6.2.g</t>
  </si>
  <si>
    <t>What resources will be required</t>
  </si>
  <si>
    <t>&lt;p&gt;When planning how to achieve its information security objectives, the organisation shall determine what resources will be required.&lt;/p&gt;</t>
  </si>
  <si>
    <t>6.2.h</t>
  </si>
  <si>
    <t>Who will be responsible</t>
  </si>
  <si>
    <t>&lt;p&gt;When planning how to achieve its information security objectives, the organisation shall determine who will be responsible.&lt;/p&gt;</t>
  </si>
  <si>
    <t>6.2.i</t>
  </si>
  <si>
    <t>When it will be completed</t>
  </si>
  <si>
    <t>&lt;p&gt;When planning how to achieve its information security objectives, the organisation shall determine when it will be completed.&lt;/p&gt;</t>
  </si>
  <si>
    <t>6.2.j</t>
  </si>
  <si>
    <t>How the results will be evaluated</t>
  </si>
  <si>
    <t>&lt;p&gt;When planning how to achieve its information security objectives, the organisation shall determine how the results will be evaluated.&lt;/p&gt;</t>
  </si>
  <si>
    <t>Support</t>
  </si>
  <si>
    <t>Resources</t>
  </si>
  <si>
    <t>&lt;p&gt;The organisation shall determine and provide the resources needed for the establishment, implementation, maintenance and continual improvement of the information security management system.&lt;/p&gt;</t>
  </si>
  <si>
    <t>Competence</t>
  </si>
  <si>
    <t>&lt;p&gt;Applicable actions may include, for example: the provision of training to, the mentoring of, or the reassignment of current employees; or the hiring or contracting of competent persons.&lt;/p&gt;</t>
  </si>
  <si>
    <t>7.2.a</t>
  </si>
  <si>
    <t>Determine the necessary competence of person(s) doing work under its control that affects its information security performance</t>
  </si>
  <si>
    <t>&lt;p&gt;The organisation shall determine the necessary competence of person(s) doing work under its control that affects its information security performance.&lt;/p&gt;</t>
  </si>
  <si>
    <t>7.2.b</t>
  </si>
  <si>
    <t>Ensure that these persons are competent on the basis of appropriate education, training, or experience</t>
  </si>
  <si>
    <t>&lt;p&gt;The organisation shall ensure that these persons are competent on the basis of appropriate education, training, or experience.&lt;/p&gt;</t>
  </si>
  <si>
    <t>7.2.c</t>
  </si>
  <si>
    <t>Where applicable, take actions to acquire the necessary competence, and evaluate the effectiveness of the actions taken</t>
  </si>
  <si>
    <t>&lt;p&gt;The organisation shall where applicable, take actions to acquire the necessary competence, and evaluate the effectiveness of the actions taken.&lt;/p&gt;</t>
  </si>
  <si>
    <t>7.2.d</t>
  </si>
  <si>
    <t>Retain appropriate documented information as evidence of competence</t>
  </si>
  <si>
    <t>&lt;p&gt;The organisation shall retain appropriate documented information as evidence of competence.&lt;/p&gt;</t>
  </si>
  <si>
    <t>Awareness</t>
  </si>
  <si>
    <t>7.3.a</t>
  </si>
  <si>
    <t>The information security policy</t>
  </si>
  <si>
    <t>&lt;p&gt;Persons doing work under the organisation&amp;rsquo;s control shall be aware of the information security policy.&lt;/p&gt;</t>
  </si>
  <si>
    <t>7.3.b</t>
  </si>
  <si>
    <t>Their contribution to the effectiveness of the information security management system, including the benefits of improved information security performance</t>
  </si>
  <si>
    <t>&lt;p&gt;Persons doing work under the organisation&amp;rsquo;s control shall be aware of their contribution to the effectiveness of the information security management system, including the benefits of improved information security performance.&lt;/p&gt;</t>
  </si>
  <si>
    <t>7.3.c</t>
  </si>
  <si>
    <t>The implications of not conforming with the information security management system requirements</t>
  </si>
  <si>
    <t>&lt;p&gt;Persons doing work under the organisation&amp;rsquo;s control shall be aware of the implications of not conforming with the information security management system requirements.&lt;/p&gt;</t>
  </si>
  <si>
    <t>Communication</t>
  </si>
  <si>
    <t>7.4.a</t>
  </si>
  <si>
    <t>On what to communicate</t>
  </si>
  <si>
    <t>&lt;p&gt;The organisation shall determine the need for internal and external communications relevant to the information security management system including on what to communicate.&lt;/p&gt;</t>
  </si>
  <si>
    <t>7.4.b</t>
  </si>
  <si>
    <t>When to communicate</t>
  </si>
  <si>
    <t>&lt;p&gt;The organisation shall determine the need for internal and external communications relevant to the information security management system including when to communicate.&lt;/p&gt;</t>
  </si>
  <si>
    <t>7.4.c</t>
  </si>
  <si>
    <t>With whom to communicate</t>
  </si>
  <si>
    <t>&lt;p&gt;The organisation shall determine the need for internal and external communications relevant to the information security management system including with whom to communicate.&lt;/p&gt;</t>
  </si>
  <si>
    <t>7.4.d</t>
  </si>
  <si>
    <t>Who shall communicate</t>
  </si>
  <si>
    <t>&lt;p&gt;The organisation shall determine the need for internal and external communications relevant to the information security management system including who shall communicate.&lt;/p&gt;</t>
  </si>
  <si>
    <t>7.4.e</t>
  </si>
  <si>
    <t>The processes by which communication shall be effected</t>
  </si>
  <si>
    <t>&lt;p&gt;The organisation shall determine the need for internal and external communications relevant to the information security management system including the processes by which communication shall be effected.&lt;/p&gt;</t>
  </si>
  <si>
    <t>Documented information</t>
  </si>
  <si>
    <t>7.5.1</t>
  </si>
  <si>
    <t>&lt;p&gt;The extent of documented information for an information security management system can differ from one organisation to another due to:&lt;/p&gt;
&lt;ol style="list-style-type:lower-alpha"&gt;
 &lt;li&gt;the size of organisation and its type of activities, processes, products and services;&lt;/li&gt;
 &lt;li&gt;the complexity of processes and their interactions; and&lt;/li&gt;
 &lt;li&gt;the competence of persons.&lt;/li&gt;
&lt;/ol&gt;</t>
  </si>
  <si>
    <t>7.5.1.a</t>
  </si>
  <si>
    <t>Documented information required by this International Standard</t>
  </si>
  <si>
    <t>&lt;p&gt;The organisation&amp;rsquo;s information security management system shall include documented information required by this International Standard.&lt;/p&gt;</t>
  </si>
  <si>
    <t>7.5.1.b</t>
  </si>
  <si>
    <t>Documented information determined by the organisation as being necessary for the effectiveness of the information security management system</t>
  </si>
  <si>
    <t>&lt;p&gt;The organisation&amp;rsquo;s information security management system shall include documented information determined by the organisation as being necessary for the effectiveness of the information security management system.&lt;/p&gt;</t>
  </si>
  <si>
    <t>7.5.2</t>
  </si>
  <si>
    <t>Creating and updating</t>
  </si>
  <si>
    <t>7.5.2.a</t>
  </si>
  <si>
    <t>Identification and description (e.g. a title, date, author, or reference number)</t>
  </si>
  <si>
    <t>&lt;p&gt;When creating and updating documented information the organisation shall ensure appropriate identification and description (e.g. a title, date, author, or reference number).&lt;/p&gt;</t>
  </si>
  <si>
    <t>7.5.2.b</t>
  </si>
  <si>
    <t>Format (e.g. language, software version, graphics) and media (e.g. paper, electronic)</t>
  </si>
  <si>
    <t>&lt;p&gt;When creating and updating documented information the organisation shall ensure appropriate format (e.g. language, software version, graphics) and media (e.g. paper, electronic).&lt;/p&gt;</t>
  </si>
  <si>
    <t>7.5.2.c</t>
  </si>
  <si>
    <t>Review and approval for suitability and adequacy</t>
  </si>
  <si>
    <t>&lt;p&gt;When creating and updating documented information the organisation shall ensure appropriate review and approval for suitability and adequacy.&lt;/p&gt;</t>
  </si>
  <si>
    <t>7.5.3</t>
  </si>
  <si>
    <t>Control of documented information</t>
  </si>
  <si>
    <t>&lt;p&gt;Documented information of external origin, determined by the organisation to be necessary for the planning and operation of the information security management system, shall be identified as appropriate, and controlled.&lt;/p&gt;</t>
  </si>
  <si>
    <t>&lt;p&gt;Access implies a decision regarding the permission to view the documented information only, or the permission and authority to view and change the documented information, etc.&lt;/p&gt;</t>
  </si>
  <si>
    <t>7.5.3.a</t>
  </si>
  <si>
    <t>It is available and suitable for use, where and when it is needed</t>
  </si>
  <si>
    <t>&lt;p&gt;Documented information required by the information security management system and by this International Standard shall be controlled to ensure it is available and suitable for use, where and when it is needed.&lt;/p&gt;</t>
  </si>
  <si>
    <t>7.5.3.b</t>
  </si>
  <si>
    <t>It is adequately protected (e.g. from loss of confidentiality, improper use, or loss of integrity)</t>
  </si>
  <si>
    <t>&lt;p&gt;Documented information required by the information security management system and by this International Standard shall be controlled to ensure it is adequately protected (e.g. from loss of confidentiality, improper use, or loss of integrity).&lt;/p&gt;</t>
  </si>
  <si>
    <t>7.5.3.c</t>
  </si>
  <si>
    <t>Distribution, access, retrieval and use</t>
  </si>
  <si>
    <t>&lt;p&gt;For the control of documented information, the organisation shall address the following activities, as applicable: distribution, access, retrieval and use.&lt;/p&gt;</t>
  </si>
  <si>
    <t>7.5.3.d</t>
  </si>
  <si>
    <t>Storage and preservation, including the preservation of legibility</t>
  </si>
  <si>
    <t>&lt;p&gt;For the control of documented information, the organisation shall address the following activities, as applicable: storage and preservation, including the preservation of legibility.&lt;/p&gt;</t>
  </si>
  <si>
    <t>7.5.3.e</t>
  </si>
  <si>
    <t>Control of changes (e.g. version control)</t>
  </si>
  <si>
    <t>&lt;p&gt;For the control of documented information, the organisation shall address the following activities, as applicable: control of changes (e.g. version control).&lt;/p&gt;</t>
  </si>
  <si>
    <t>7.5.3.f</t>
  </si>
  <si>
    <t>Retention and disposition</t>
  </si>
  <si>
    <t>&lt;p&gt;For the control of documented information, the organisation shall address the following activities, as applicable: retention and disposition.&lt;/p&gt;</t>
  </si>
  <si>
    <t>Operation</t>
  </si>
  <si>
    <t>Operational planning and control</t>
  </si>
  <si>
    <t>&lt;p&gt;The organisation shall plan, implement and control the processes needed to meet information security requirements, and to implement the actions determined in 6.1. The organisation shall also implement plans to achieve information security objectives determined in 6.2.&lt;/p&gt;
&lt;p&gt;The organisation shall keep documented information to the extent necessary to have confidence that the processes have been carried out as planned.&lt;/p&gt;
&lt;p&gt;The organisation shall control planned changes and review the consequences of unintended changes, taking action to mitigate any adverse effects, as necessary.&lt;/p&gt;
&lt;p&gt;The organisation shall ensure that outsourced processes are determined and controlled.&lt;/p&gt;</t>
  </si>
  <si>
    <t>&lt;p&gt;The organisation shall perform information security risk assessments at planned intervals or when significant changes are proposed or occur, taking account of the criteria established in 6.1.2 a).&lt;/p&gt;
&lt;p&gt;The organisation shall retain documented information of the results of the information security risk assessments.&lt;/p&gt;</t>
  </si>
  <si>
    <t>Risk Management and Document Management</t>
  </si>
  <si>
    <t>risks, documenttrees</t>
  </si>
  <si>
    <t>&lt;p&gt;The organisation shall implement the information security risk treatment plan.&lt;/p&gt;
&lt;p&gt;The organisation shall retain documented information of the results of the information security risk treatment.&lt;/p&gt;</t>
  </si>
  <si>
    <t>Performance evaluation</t>
  </si>
  <si>
    <t>Monitoring, measurement, analysis and evaluation</t>
  </si>
  <si>
    <t>&lt;p&gt;The organisation shall evaluate the information security performance and the effectiveness of the information security management system.&lt;/p&gt;
&lt;p&gt;The organisation shall retain appropriate documented information as evidence of the monitoring and measurement results.&lt;/p&gt;</t>
  </si>
  <si>
    <t>9.1.a</t>
  </si>
  <si>
    <t>What needs to be monitored and measured, including information security processes and controls</t>
  </si>
  <si>
    <t>&lt;p&gt;The organisation shall determine what needs to be monitored and measured, including information security processes and controls.&lt;/p&gt;</t>
  </si>
  <si>
    <t>9.1.b</t>
  </si>
  <si>
    <t>The methods for monitoring, measurement, analysis and evaluation, as applicable, to ensure valid results</t>
  </si>
  <si>
    <t>&lt;p&gt;The organisation shall determine the methods for monitoring, measurement, analysis and evaluation, as applicable, to ensure valid results.&lt;/p&gt;</t>
  </si>
  <si>
    <t>&lt;p&gt;The methods selected should produce comparable and reproducible results to be considered valid.&lt;/p&gt;</t>
  </si>
  <si>
    <t>9.1.c</t>
  </si>
  <si>
    <t>When the monitoring and measuring shall be performed</t>
  </si>
  <si>
    <t>&lt;p&gt;The organisation shall determine when the monitoring and measuring shall be performed.&lt;/p&gt;</t>
  </si>
  <si>
    <t>9.1.d</t>
  </si>
  <si>
    <t>Who shall monitor and measure</t>
  </si>
  <si>
    <t>&lt;p&gt;The organisation shall determine who shall monitor and measure.&lt;/p&gt;</t>
  </si>
  <si>
    <t>9.1.e</t>
  </si>
  <si>
    <t>When the results from monitoring and measurement shall be analysed and evaluated</t>
  </si>
  <si>
    <t>&lt;p&gt;The organisation shall determine when the results from monitoring and measurement shall be analysed and evaluated.&lt;/p&gt;</t>
  </si>
  <si>
    <t>9.1.f</t>
  </si>
  <si>
    <t>Who shall analyse and evaluate these results</t>
  </si>
  <si>
    <t>&lt;p&gt;The organisation shall determine who shall analyse and evaluate these results.&lt;/p&gt;</t>
  </si>
  <si>
    <t>Internal audit</t>
  </si>
  <si>
    <t>9.2.a</t>
  </si>
  <si>
    <t>Conforms to:</t>
  </si>
  <si>
    <t>&lt;p&gt;The organisation shall conduct internal audits at planned intervals to provide information on whether the information security management system conforms to:&lt;/p&gt;</t>
  </si>
  <si>
    <t>9.2.a.1</t>
  </si>
  <si>
    <t>The organisation’s own requirements for its information security management system</t>
  </si>
  <si>
    <t>&lt;p&gt;The organisation shall conduct internal audits at planned intervals to provide information on whether the information security management system conforms to the organisation’s own requirements for its information security management system.&lt;/p&gt;</t>
  </si>
  <si>
    <t>Audits</t>
  </si>
  <si>
    <t>9.2.a.2</t>
  </si>
  <si>
    <t>The requirements of this International Standard</t>
  </si>
  <si>
    <t>&lt;p&gt;The organisation shall conduct internal audits at planned intervals to provide information on whether the information security management system conforms to the requirements of this International Standard.&lt;/p&gt;</t>
  </si>
  <si>
    <t>9.2.b</t>
  </si>
  <si>
    <t>Is effectively implemented and maintained</t>
  </si>
  <si>
    <t>&lt;p&gt;The organisation shall conduct internal audits at planned intervals to provide information on whether the information security management system is effectively implemented and maintained.&lt;/p&gt;</t>
  </si>
  <si>
    <t>9.2.c</t>
  </si>
  <si>
    <t>Plan, establish, implement and maintain an audit programme(s), including the frequency, methods, responsibilities, planning requirements and reporting. The audit programme(s) shall take into consideration the importance of the processes concerned and the results of previous audits</t>
  </si>
  <si>
    <t>&lt;p&gt;The organisation shall plan, establish, implement and maintain an audit programme(s), including the frequency, methods, responsibilities, planning requirements and reporting. The audit programme(s) shall take into consideration the importance of the processes concerned and the results of previous audits.&lt;/p&gt;</t>
  </si>
  <si>
    <t>9.2.d</t>
  </si>
  <si>
    <t>Define the audit criteria and scope for each audit</t>
  </si>
  <si>
    <t>&lt;p&gt;The organisation shall define the audit criteria and scope for each audit.&lt;/p&gt;</t>
  </si>
  <si>
    <t>9.2.e</t>
  </si>
  <si>
    <t>Select auditors and conduct audits that ensure objectivity and the impartiality of the audit process</t>
  </si>
  <si>
    <t>&lt;p&gt;The organisation shall select auditors and conduct audits that ensure objectivity and the impartiality of the audit process.&lt;/p&gt;</t>
  </si>
  <si>
    <t>9.2.f</t>
  </si>
  <si>
    <t>Ensure that the results of the audits are reported to relevant management</t>
  </si>
  <si>
    <t>&lt;p&gt;The organisation shall ensure that the results of the audits are reported to relevant management.&lt;/p&gt;</t>
  </si>
  <si>
    <t>9.2.g</t>
  </si>
  <si>
    <t>Retain documented information as evidence of the audit programme(s) and the audit results</t>
  </si>
  <si>
    <t>&lt;p&gt;The organisation shall retain documented information as evidence of the audit programme(s) and the audit results.&lt;/p&gt;</t>
  </si>
  <si>
    <t>Audits and Document Management</t>
  </si>
  <si>
    <t>audits, documenttrees</t>
  </si>
  <si>
    <t>Management review</t>
  </si>
  <si>
    <t>&lt;p&gt;Top management shall review the organisation&amp;rsquo;s information security management system at planned intervals to ensure its continuing suitability, adequacy and effectiveness.&lt;/p&gt;
&lt;p&gt;The outputs of the management review shall include decisions related to continual improvement opportunities and any needs for changes to the information security management system.&lt;/p&gt;
&lt;p&gt;The organisation shall retain documented information as evidence of the results of management reviews.&lt;/p&gt;</t>
  </si>
  <si>
    <t>9.3.a</t>
  </si>
  <si>
    <t>The status of actions from previous management reviews</t>
  </si>
  <si>
    <t>&lt;p&gt;The management review shall include consideration of the status of actions from previous management reviews.&lt;/p&gt;</t>
  </si>
  <si>
    <t>Management Reviews and KPI/Objectives</t>
  </si>
  <si>
    <t>managementreviews, kpiobjectives</t>
  </si>
  <si>
    <t>9.3.b</t>
  </si>
  <si>
    <t>Changes in external and internal issues that are relevant to the information security management system</t>
  </si>
  <si>
    <t>&lt;p&gt;The management review shall include consideration of changes in external and internal issues that are relevant to the information security management system.&lt;/p&gt;</t>
  </si>
  <si>
    <t>9.3.c</t>
  </si>
  <si>
    <t>Feedback on the information security performance, including trends in:</t>
  </si>
  <si>
    <t>&lt;p&gt;The management review shall include consideration of feedback on the information security performance, including trends in:&lt;/p&gt;</t>
  </si>
  <si>
    <t>9.3.c.1</t>
  </si>
  <si>
    <t>Nonconformities and corrective actions</t>
  </si>
  <si>
    <t>&lt;p&gt;The management review shall include consideration of feedback on the information security performance, including trends in nonconformities and corrective actions.&lt;/p&gt;</t>
  </si>
  <si>
    <t>Incident Management, Management Reviews and KPI/Objectives</t>
  </si>
  <si>
    <t>incidents, managementreviews, kpiobjectives</t>
  </si>
  <si>
    <t>9.3.c.2</t>
  </si>
  <si>
    <t>Monitoring and measurement results</t>
  </si>
  <si>
    <t>&lt;p&gt;The management review shall include consideration of feedback on the information security performance, including trends in monitoring and measurement results.&lt;/p&gt;</t>
  </si>
  <si>
    <t>9.3.c.3</t>
  </si>
  <si>
    <t>Audit results</t>
  </si>
  <si>
    <t>&lt;p&gt;The management review shall include consideration of feedback on the information security performance, including trends in audit results.&lt;/p&gt;</t>
  </si>
  <si>
    <t>Audits, Management Reviews and KPI/Objectives</t>
  </si>
  <si>
    <t>audits, managementreviews, kpiobjectives</t>
  </si>
  <si>
    <t>9.3.c.4</t>
  </si>
  <si>
    <t>Fulfilment of information security objectives</t>
  </si>
  <si>
    <t>&lt;p&gt;The management review shall include consideration of feedback on the information security performance, including trends in fulfilment of information security objectives.&lt;/p&gt;</t>
  </si>
  <si>
    <t>9.3.d</t>
  </si>
  <si>
    <t>Feedback from interested parties</t>
  </si>
  <si>
    <t>&lt;p&gt;The management review shall include consideration of feedback from interested parties.&lt;/p&gt;</t>
  </si>
  <si>
    <t>9.3.e</t>
  </si>
  <si>
    <t>Results of risk assessment and status of risk treatment plan</t>
  </si>
  <si>
    <t>&lt;p&gt;The management review shall include consideration of results of risk assessment and status of risk treatment plan.&lt;/p&gt;</t>
  </si>
  <si>
    <t>Risk Management, Management Reviews and KPI/Objectives</t>
  </si>
  <si>
    <t>risks, managementreviews, kpiobjectives</t>
  </si>
  <si>
    <t>9.3.f</t>
  </si>
  <si>
    <t>Opportunities for continual improvement</t>
  </si>
  <si>
    <t>&lt;p&gt;The management review shall include consideration of opportunities for continual improvement.&lt;/p&gt;</t>
  </si>
  <si>
    <t>Management Reviews, KPI/Objectives and Continual Improvement</t>
  </si>
  <si>
    <t>managementreviews, kpiobjectives, cips</t>
  </si>
  <si>
    <t>Improvement</t>
  </si>
  <si>
    <t>Nonconformity and corrective action</t>
  </si>
  <si>
    <t>&lt;p&gt;Corrective actions shall be appropriate to the effects of the nonconformities encountered.&lt;/p&gt;</t>
  </si>
  <si>
    <t>10.1.a</t>
  </si>
  <si>
    <t>React to the nonconformity, and as applicable:</t>
  </si>
  <si>
    <t>&lt;p&gt;When a nonconformity occurs, the organisation shall react to the nonconformity, and as applicable:&lt;/p&gt;</t>
  </si>
  <si>
    <t>10.1.a.1</t>
  </si>
  <si>
    <t>Take action to control and correct it</t>
  </si>
  <si>
    <t>&lt;p&gt;When a nonconformity occurs, the organisation shall react to the nonconformity, and as applicable, take action to control and correct it.&lt;/p&gt;</t>
  </si>
  <si>
    <t>Incident Management</t>
  </si>
  <si>
    <t>10.1.a.2</t>
  </si>
  <si>
    <t>Deal with the consequences</t>
  </si>
  <si>
    <t>&lt;p&gt;When a nonconformity occurs, the organisation shall react to the nonconformity, and as applicable, deal with the consequences.&lt;/p&gt;</t>
  </si>
  <si>
    <t>10.1.b</t>
  </si>
  <si>
    <t>Evaluate the need for action to eliminate the causes of nonconformity, in order that it does not recur or occur elsewhere, by:</t>
  </si>
  <si>
    <t>&lt;p&gt;When a nonconformity occurs, the organisation shall evaluate the need for action to eliminate the causes of nonconformity, in order that it does not recur or occur elsewhere, by:&lt;/p&gt;</t>
  </si>
  <si>
    <t>10.1.b.1</t>
  </si>
  <si>
    <t>Reviewing the nonconformity</t>
  </si>
  <si>
    <t>&lt;p&gt;When a nonconformity occurs, the organisation shall evaluate the need for action to eliminate the causes of nonconformity, in order that it does not recur or occur elsewhere, by reviewing the nonconformity.&lt;/p&gt;</t>
  </si>
  <si>
    <t>10.1.b.2</t>
  </si>
  <si>
    <t>Determining the causes of the nonconformity</t>
  </si>
  <si>
    <t>&lt;p&gt;When a nonconformity occurs, the organisation shall evaluate the need for action to eliminate the causes of nonconformity, in order that it does not recur or occur elsewhere, by determining the causes of the nonconformity.&lt;/p&gt;</t>
  </si>
  <si>
    <t>10.1.b.3</t>
  </si>
  <si>
    <t>Determining if similar nonconformities exist, or could potentially occur</t>
  </si>
  <si>
    <t>&lt;p&gt;When a nonconformity occurs, the organisation shall evaluate the need for action to eliminate the causes of nonconformity, in order that it does not recur or occur elsewhere, by determining if similar nonconformities exist, or could potentially occur.&lt;/p&gt;</t>
  </si>
  <si>
    <t>10.1.c</t>
  </si>
  <si>
    <t>Implement any action needed</t>
  </si>
  <si>
    <t>&lt;p&gt;When a nonconformity occurs, the organisation shall implement any action needed.&lt;/p&gt;</t>
  </si>
  <si>
    <t>10.1.d</t>
  </si>
  <si>
    <t>Review the effectiveness of any corrective action taken</t>
  </si>
  <si>
    <t>&lt;p&gt;When a nonconformity occurs, the organisation shall review the effectiveness of any corrective action taken.&lt;/p&gt;</t>
  </si>
  <si>
    <t>10.1.e</t>
  </si>
  <si>
    <t>Make changes to the information security management system, if necessary</t>
  </si>
  <si>
    <t>&lt;p&gt;When a nonconformity occurs, the organisation shall make changes to the information security management system, if necessary.&lt;/p&gt;</t>
  </si>
  <si>
    <t>10.1.f</t>
  </si>
  <si>
    <t>The nature of the nonconformities and any subsequent actions taken</t>
  </si>
  <si>
    <t>&lt;p&gt;The organisation shall retain documented information as evidence of the nature of the nonconformities and any subsequent actions taken.&lt;/p&gt;</t>
  </si>
  <si>
    <t>Incident Management and Document Management</t>
  </si>
  <si>
    <t>incidents, documenttrees</t>
  </si>
  <si>
    <t>10.1.g</t>
  </si>
  <si>
    <t>The results of any corrective action</t>
  </si>
  <si>
    <t>&lt;p&gt;The organisation shall retain documented information as evidence of the results of any corrective action.&lt;/p&gt;</t>
  </si>
  <si>
    <t>Continual improvement</t>
  </si>
  <si>
    <t>&lt;p&gt;The organisation shall continually improve the suitability, adequacy and effectiveness of the information security management system.&lt;/p&gt;</t>
  </si>
  <si>
    <t>Version of Toolkit:</t>
  </si>
  <si>
    <t>YYYY ??? Edition</t>
  </si>
  <si>
    <t>Controls</t>
  </si>
  <si>
    <t>Sub-Controls</t>
  </si>
  <si>
    <t>Total Controls per Section</t>
  </si>
  <si>
    <t>Section 4</t>
  </si>
  <si>
    <t>Section 5</t>
  </si>
  <si>
    <t>Section 6</t>
  </si>
  <si>
    <t>Section 7</t>
  </si>
  <si>
    <t>Section 8</t>
  </si>
  <si>
    <t>Section 9</t>
  </si>
  <si>
    <t>Section 10</t>
  </si>
  <si>
    <t>Total Clauses</t>
  </si>
  <si>
    <t>Total Controls</t>
  </si>
  <si>
    <t>Total Sub-Controls</t>
  </si>
  <si>
    <t>For each Module, if applicable put "TRUE"</t>
  </si>
</sst>
</file>

<file path=xl/styles.xml><?xml version="1.0" encoding="utf-8"?>
<styleSheet xmlns="http://schemas.openxmlformats.org/spreadsheetml/2006/main">
  <numFmts count="4">
    <numFmt numFmtId="43" formatCode="_-* #,##0.00_-;\-* #,##0.00_-;_-* &quot;-&quot;??_-;_-@_-"/>
    <numFmt numFmtId="44" formatCode="_-&quot;£&quot;* #,##0.00_-;\-&quot;£&quot;* #,##0.00_-;_-&quot;£&quot;* &quot;-&quot;??_-;_-@_-"/>
    <numFmt numFmtId="42" formatCode="_-&quot;£&quot;* #,##0_-;\-&quot;£&quot;* #,##0_-;_-&quot;£&quot;* &quot;-&quot;_-;_-@_-"/>
    <numFmt numFmtId="41" formatCode="_-* #,##0_-;\-* #,##0_-;_-* &quot;-&quot;_-;_-@_-"/>
  </numFmts>
  <fonts count="24">
    <font>
      <sz val="11"/>
      <color theme="1"/>
      <name val="Calibri"/>
      <charset val="134"/>
      <scheme val="minor"/>
    </font>
    <font>
      <b/>
      <sz val="18"/>
      <color theme="1"/>
      <name val="Calibri"/>
      <charset val="134"/>
      <scheme val="minor"/>
    </font>
    <font>
      <sz val="18"/>
      <color theme="1"/>
      <name val="Calibri"/>
      <charset val="134"/>
      <scheme val="minor"/>
    </font>
    <font>
      <sz val="11"/>
      <color theme="1"/>
      <name val="Calibri"/>
      <charset val="134"/>
    </font>
    <font>
      <b/>
      <sz val="11"/>
      <color theme="1"/>
      <name val="Calibri"/>
      <charset val="134"/>
      <scheme val="minor"/>
    </font>
    <font>
      <b/>
      <sz val="18"/>
      <color theme="3"/>
      <name val="Calibri"/>
      <charset val="134"/>
      <scheme val="minor"/>
    </font>
    <font>
      <u/>
      <sz val="11"/>
      <color rgb="FF800080"/>
      <name val="Calibri"/>
      <charset val="0"/>
      <scheme val="minor"/>
    </font>
    <font>
      <sz val="11"/>
      <color theme="1"/>
      <name val="Calibri"/>
      <charset val="0"/>
      <scheme val="minor"/>
    </font>
    <font>
      <u/>
      <sz val="11"/>
      <color rgb="FF0000FF"/>
      <name val="Calibri"/>
      <charset val="0"/>
      <scheme val="minor"/>
    </font>
    <font>
      <sz val="11"/>
      <color theme="0"/>
      <name val="Calibri"/>
      <charset val="0"/>
      <scheme val="minor"/>
    </font>
    <font>
      <b/>
      <sz val="11"/>
      <color theme="3"/>
      <name val="Calibri"/>
      <charset val="134"/>
      <scheme val="minor"/>
    </font>
    <font>
      <b/>
      <sz val="11"/>
      <color rgb="FFFA7D00"/>
      <name val="Calibri"/>
      <charset val="0"/>
      <scheme val="minor"/>
    </font>
    <font>
      <b/>
      <sz val="11"/>
      <color rgb="FFFFFFFF"/>
      <name val="Calibri"/>
      <charset val="0"/>
      <scheme val="minor"/>
    </font>
    <font>
      <b/>
      <sz val="13"/>
      <color theme="3"/>
      <name val="Calibri"/>
      <charset val="134"/>
      <scheme val="minor"/>
    </font>
    <font>
      <sz val="11"/>
      <color rgb="FF3F3F76"/>
      <name val="Calibri"/>
      <charset val="0"/>
      <scheme val="minor"/>
    </font>
    <font>
      <sz val="11"/>
      <color rgb="FFFF0000"/>
      <name val="Calibri"/>
      <charset val="0"/>
      <scheme val="minor"/>
    </font>
    <font>
      <b/>
      <sz val="11"/>
      <color theme="1"/>
      <name val="Calibri"/>
      <charset val="0"/>
      <scheme val="minor"/>
    </font>
    <font>
      <sz val="11"/>
      <color rgb="FFFA7D00"/>
      <name val="Calibri"/>
      <charset val="0"/>
      <scheme val="minor"/>
    </font>
    <font>
      <i/>
      <sz val="11"/>
      <color rgb="FF7F7F7F"/>
      <name val="Calibri"/>
      <charset val="0"/>
      <scheme val="minor"/>
    </font>
    <font>
      <b/>
      <sz val="15"/>
      <color theme="3"/>
      <name val="Calibri"/>
      <charset val="134"/>
      <scheme val="minor"/>
    </font>
    <font>
      <sz val="11"/>
      <color rgb="FF9C6500"/>
      <name val="Calibri"/>
      <charset val="0"/>
      <scheme val="minor"/>
    </font>
    <font>
      <sz val="11"/>
      <color rgb="FF006100"/>
      <name val="Calibri"/>
      <charset val="0"/>
      <scheme val="minor"/>
    </font>
    <font>
      <b/>
      <sz val="11"/>
      <color rgb="FF3F3F3F"/>
      <name val="Calibri"/>
      <charset val="0"/>
      <scheme val="minor"/>
    </font>
    <font>
      <sz val="11"/>
      <color rgb="FF9C0006"/>
      <name val="Calibri"/>
      <charset val="0"/>
      <scheme val="minor"/>
    </font>
  </fonts>
  <fills count="33">
    <fill>
      <patternFill patternType="none"/>
    </fill>
    <fill>
      <patternFill patternType="gray125"/>
    </fill>
    <fill>
      <patternFill patternType="solid">
        <fgColor theme="4" tint="0.799981688894314"/>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theme="7" tint="0.399975585192419"/>
        <bgColor indexed="64"/>
      </patternFill>
    </fill>
    <fill>
      <patternFill patternType="solid">
        <fgColor theme="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5"/>
        <bgColor indexed="64"/>
      </patternFill>
    </fill>
    <fill>
      <patternFill patternType="solid">
        <fgColor rgb="FFFFCC99"/>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rgb="FFFFEB9C"/>
        <bgColor indexed="64"/>
      </patternFill>
    </fill>
    <fill>
      <patternFill patternType="solid">
        <fgColor rgb="FFC6EFCE"/>
        <bgColor indexed="64"/>
      </patternFill>
    </fill>
    <fill>
      <patternFill patternType="solid">
        <fgColor rgb="FFFFC7CE"/>
        <bgColor indexed="64"/>
      </patternFill>
    </fill>
    <fill>
      <patternFill patternType="solid">
        <fgColor theme="4"/>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8"/>
        <bgColor indexed="64"/>
      </patternFill>
    </fill>
    <fill>
      <patternFill patternType="solid">
        <fgColor theme="7"/>
        <bgColor indexed="64"/>
      </patternFill>
    </fill>
    <fill>
      <patternFill patternType="solid">
        <fgColor theme="6"/>
        <bgColor indexed="64"/>
      </patternFill>
    </fill>
    <fill>
      <patternFill patternType="solid">
        <fgColor theme="8"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7" fillId="5" borderId="0" applyNumberFormat="0" applyBorder="0" applyAlignment="0" applyProtection="0">
      <alignment vertical="center"/>
    </xf>
    <xf numFmtId="43"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9" borderId="0" applyNumberFormat="0" applyBorder="0" applyAlignment="0" applyProtection="0">
      <alignment vertical="center"/>
    </xf>
    <xf numFmtId="0" fontId="6" fillId="0" borderId="0" applyNumberFormat="0" applyFill="0" applyBorder="0" applyAlignment="0" applyProtection="0">
      <alignment vertical="center"/>
    </xf>
    <xf numFmtId="0" fontId="12" fillId="8" borderId="5" applyNumberFormat="0" applyAlignment="0" applyProtection="0">
      <alignment vertical="center"/>
    </xf>
    <xf numFmtId="0" fontId="13" fillId="0" borderId="6" applyNumberFormat="0" applyFill="0" applyAlignment="0" applyProtection="0">
      <alignment vertical="center"/>
    </xf>
    <xf numFmtId="0" fontId="0" fillId="6" borderId="3" applyNumberFormat="0" applyFont="0" applyAlignment="0" applyProtection="0">
      <alignment vertical="center"/>
    </xf>
    <xf numFmtId="0" fontId="7" fillId="11" borderId="0" applyNumberFormat="0" applyBorder="0" applyAlignment="0" applyProtection="0">
      <alignment vertical="center"/>
    </xf>
    <xf numFmtId="0" fontId="15" fillId="0" borderId="0" applyNumberFormat="0" applyFill="0" applyBorder="0" applyAlignment="0" applyProtection="0">
      <alignment vertical="center"/>
    </xf>
    <xf numFmtId="0" fontId="7" fillId="19" borderId="0" applyNumberFormat="0" applyBorder="0" applyAlignment="0" applyProtection="0">
      <alignment vertical="center"/>
    </xf>
    <xf numFmtId="0" fontId="5"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6" applyNumberFormat="0" applyFill="0" applyAlignment="0" applyProtection="0">
      <alignment vertical="center"/>
    </xf>
    <xf numFmtId="0" fontId="10" fillId="0" borderId="2" applyNumberFormat="0" applyFill="0" applyAlignment="0" applyProtection="0">
      <alignment vertical="center"/>
    </xf>
    <xf numFmtId="0" fontId="10" fillId="0" borderId="0" applyNumberFormat="0" applyFill="0" applyBorder="0" applyAlignment="0" applyProtection="0">
      <alignment vertical="center"/>
    </xf>
    <xf numFmtId="0" fontId="14" fillId="15" borderId="4" applyNumberFormat="0" applyAlignment="0" applyProtection="0">
      <alignment vertical="center"/>
    </xf>
    <xf numFmtId="0" fontId="9" fillId="4" borderId="0" applyNumberFormat="0" applyBorder="0" applyAlignment="0" applyProtection="0">
      <alignment vertical="center"/>
    </xf>
    <xf numFmtId="0" fontId="21" fillId="21" borderId="0" applyNumberFormat="0" applyBorder="0" applyAlignment="0" applyProtection="0">
      <alignment vertical="center"/>
    </xf>
    <xf numFmtId="0" fontId="22" fillId="7" borderId="9" applyNumberFormat="0" applyAlignment="0" applyProtection="0">
      <alignment vertical="center"/>
    </xf>
    <xf numFmtId="0" fontId="7" fillId="2" borderId="0" applyNumberFormat="0" applyBorder="0" applyAlignment="0" applyProtection="0">
      <alignment vertical="center"/>
    </xf>
    <xf numFmtId="0" fontId="11" fillId="7" borderId="4" applyNumberFormat="0" applyAlignment="0" applyProtection="0">
      <alignment vertical="center"/>
    </xf>
    <xf numFmtId="0" fontId="17" fillId="0" borderId="8" applyNumberFormat="0" applyFill="0" applyAlignment="0" applyProtection="0">
      <alignment vertical="center"/>
    </xf>
    <xf numFmtId="0" fontId="16" fillId="0" borderId="7" applyNumberFormat="0" applyFill="0" applyAlignment="0" applyProtection="0">
      <alignment vertical="center"/>
    </xf>
    <xf numFmtId="0" fontId="23" fillId="22" borderId="0" applyNumberFormat="0" applyBorder="0" applyAlignment="0" applyProtection="0">
      <alignment vertical="center"/>
    </xf>
    <xf numFmtId="0" fontId="20" fillId="20" borderId="0" applyNumberFormat="0" applyBorder="0" applyAlignment="0" applyProtection="0">
      <alignment vertical="center"/>
    </xf>
    <xf numFmtId="0" fontId="9" fillId="23" borderId="0" applyNumberFormat="0" applyBorder="0" applyAlignment="0" applyProtection="0">
      <alignment vertical="center"/>
    </xf>
    <xf numFmtId="0" fontId="7" fillId="26" borderId="0" applyNumberFormat="0" applyBorder="0" applyAlignment="0" applyProtection="0">
      <alignment vertical="center"/>
    </xf>
    <xf numFmtId="0" fontId="9" fillId="18" borderId="0" applyNumberFormat="0" applyBorder="0" applyAlignment="0" applyProtection="0">
      <alignment vertical="center"/>
    </xf>
    <xf numFmtId="0" fontId="9" fillId="14" borderId="0" applyNumberFormat="0" applyBorder="0" applyAlignment="0" applyProtection="0">
      <alignment vertical="center"/>
    </xf>
    <xf numFmtId="0" fontId="7" fillId="27" borderId="0" applyNumberFormat="0" applyBorder="0" applyAlignment="0" applyProtection="0">
      <alignment vertical="center"/>
    </xf>
    <xf numFmtId="0" fontId="7" fillId="3" borderId="0" applyNumberFormat="0" applyBorder="0" applyAlignment="0" applyProtection="0">
      <alignment vertical="center"/>
    </xf>
    <xf numFmtId="0" fontId="9" fillId="17" borderId="0" applyNumberFormat="0" applyBorder="0" applyAlignment="0" applyProtection="0">
      <alignment vertical="center"/>
    </xf>
    <xf numFmtId="0" fontId="9" fillId="30" borderId="0" applyNumberFormat="0" applyBorder="0" applyAlignment="0" applyProtection="0">
      <alignment vertical="center"/>
    </xf>
    <xf numFmtId="0" fontId="7" fillId="16" borderId="0" applyNumberFormat="0" applyBorder="0" applyAlignment="0" applyProtection="0">
      <alignment vertical="center"/>
    </xf>
    <xf numFmtId="0" fontId="9" fillId="2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9" fillId="28" borderId="0" applyNumberFormat="0" applyBorder="0" applyAlignment="0" applyProtection="0">
      <alignment vertical="center"/>
    </xf>
    <xf numFmtId="0" fontId="7" fillId="31" borderId="0" applyNumberFormat="0" applyBorder="0" applyAlignment="0" applyProtection="0">
      <alignment vertical="center"/>
    </xf>
    <xf numFmtId="0" fontId="9" fillId="25" borderId="0" applyNumberFormat="0" applyBorder="0" applyAlignment="0" applyProtection="0">
      <alignment vertical="center"/>
    </xf>
    <xf numFmtId="0" fontId="9" fillId="10" borderId="0" applyNumberFormat="0" applyBorder="0" applyAlignment="0" applyProtection="0">
      <alignment vertical="center"/>
    </xf>
    <xf numFmtId="0" fontId="7" fillId="24" borderId="0" applyNumberFormat="0" applyBorder="0" applyAlignment="0" applyProtection="0">
      <alignment vertical="center"/>
    </xf>
    <xf numFmtId="0" fontId="9" fillId="32" borderId="0" applyNumberFormat="0" applyBorder="0" applyAlignment="0" applyProtection="0">
      <alignment vertical="center"/>
    </xf>
  </cellStyleXfs>
  <cellXfs count="10">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NumberFormat="1" applyFont="1" applyBorder="1" applyAlignment="1">
      <alignment horizontal="center" vertical="center"/>
    </xf>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Font="1" applyFill="1" applyAlignment="1">
      <alignment horizontal="center" vertical="center" wrapText="1"/>
    </xf>
    <xf numFmtId="0" fontId="4" fillId="0" borderId="0"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0" borderId="0" xfId="0" applyFo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Zain\OneDrive%20-%20iMS%20Systems\0%20-%20Important%20IMS%20Docs\0%20-%20Compliance\2%20-%20Updated%20Versions%20+%20Latest%20New%20Toolkits\2%20-%20To%20Update%20Again%20Again\Previous%20Version\iso27001-2013%20Updated%20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Zain\OneDrive%20-%20iMS%20Systems\0%20-%20Important%20IMS%20Docs\0%20-%20Compliance\2%20-%20Updated%20Versions%20+%20Latest%20New%20Toolkits\2%20-%20To%20Update%20Again%20Again\Previous%20Version\bs9997%20Updated%20v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oolkit"/>
      <sheetName val="Overview"/>
      <sheetName val="DO NOT CHANGE or DELETE"/>
    </sheetNames>
    <sheetDataSet>
      <sheetData sheetId="0"/>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oolkit"/>
      <sheetName val="Overview"/>
      <sheetName val="DO NOT CHANGE or DELETE"/>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59"/>
  <sheetViews>
    <sheetView tabSelected="1" zoomScale="70" zoomScaleNormal="70" workbookViewId="0">
      <pane ySplit="1" topLeftCell="A2" activePane="bottomLeft" state="frozen"/>
      <selection/>
      <selection pane="bottomLeft" activeCell="A1" sqref="A1"/>
    </sheetView>
  </sheetViews>
  <sheetFormatPr defaultColWidth="9" defaultRowHeight="15"/>
  <cols>
    <col min="1" max="1" width="9.71428571428571" style="4" customWidth="1"/>
    <col min="2" max="2" width="81.2857142857143" style="4" customWidth="1"/>
    <col min="3" max="3" width="56.5714285714286" style="4" customWidth="1"/>
    <col min="4" max="4" width="9" style="4"/>
    <col min="5" max="5" width="44.2857142857143" style="4" customWidth="1"/>
    <col min="6" max="6" width="30.7142857142857" style="4" customWidth="1"/>
    <col min="7" max="7" width="19.4285714285714" style="4" customWidth="1"/>
    <col min="8" max="9" width="24.8571428571429" style="4" customWidth="1"/>
    <col min="10" max="15" width="15.7142857142857" style="5" customWidth="1"/>
    <col min="16" max="16" width="17.8571428571429" style="5" customWidth="1"/>
    <col min="17" max="19" width="15.7142857142857" style="4" customWidth="1"/>
    <col min="20" max="20" width="19.7142857142857" style="4" customWidth="1"/>
    <col min="21" max="27" width="15.7142857142857" style="4" customWidth="1"/>
    <col min="28" max="16384" width="9" style="4"/>
  </cols>
  <sheetData>
    <row r="1" spans="1:27">
      <c r="A1" s="6" t="s">
        <v>0</v>
      </c>
      <c r="B1" s="6"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r="2" spans="1:7">
      <c r="A2" s="7">
        <v>4</v>
      </c>
      <c r="B2" s="7" t="s">
        <v>27</v>
      </c>
      <c r="G2" s="4" t="s">
        <v>28</v>
      </c>
    </row>
    <row r="3" ht="60" spans="1:7">
      <c r="A3" s="7">
        <v>4.1</v>
      </c>
      <c r="B3" s="7" t="s">
        <v>29</v>
      </c>
      <c r="C3" s="4" t="s">
        <v>30</v>
      </c>
      <c r="E3" s="4" t="s">
        <v>31</v>
      </c>
      <c r="G3" s="4" t="s">
        <v>32</v>
      </c>
    </row>
    <row r="4" ht="45" spans="1:7">
      <c r="A4" s="7">
        <v>4.2</v>
      </c>
      <c r="B4" s="7" t="s">
        <v>33</v>
      </c>
      <c r="E4" s="4" t="s">
        <v>34</v>
      </c>
      <c r="G4" s="4" t="s">
        <v>32</v>
      </c>
    </row>
    <row r="5" ht="30" spans="1:7">
      <c r="A5" s="8" t="s">
        <v>35</v>
      </c>
      <c r="B5" s="8" t="s">
        <v>36</v>
      </c>
      <c r="C5" s="4" t="s">
        <v>37</v>
      </c>
      <c r="G5" s="4" t="s">
        <v>38</v>
      </c>
    </row>
    <row r="6" ht="30" spans="1:7">
      <c r="A6" s="8" t="s">
        <v>39</v>
      </c>
      <c r="B6" s="8" t="s">
        <v>40</v>
      </c>
      <c r="C6" s="4" t="s">
        <v>41</v>
      </c>
      <c r="G6" s="4" t="s">
        <v>38</v>
      </c>
    </row>
    <row r="7" ht="90" spans="1:7">
      <c r="A7" s="7">
        <v>4.3</v>
      </c>
      <c r="B7" s="7" t="s">
        <v>42</v>
      </c>
      <c r="C7" s="4" t="s">
        <v>43</v>
      </c>
      <c r="G7" s="4" t="s">
        <v>32</v>
      </c>
    </row>
    <row r="8" ht="90" spans="1:7">
      <c r="A8" s="8" t="s">
        <v>44</v>
      </c>
      <c r="B8" s="8" t="s">
        <v>45</v>
      </c>
      <c r="C8" s="4" t="s">
        <v>46</v>
      </c>
      <c r="G8" s="4" t="s">
        <v>38</v>
      </c>
    </row>
    <row r="9" ht="90" spans="1:7">
      <c r="A9" s="8" t="s">
        <v>47</v>
      </c>
      <c r="B9" s="8" t="s">
        <v>48</v>
      </c>
      <c r="C9" s="4" t="s">
        <v>49</v>
      </c>
      <c r="G9" s="4" t="s">
        <v>38</v>
      </c>
    </row>
    <row r="10" ht="120" spans="1:7">
      <c r="A10" s="8" t="s">
        <v>50</v>
      </c>
      <c r="B10" s="8" t="s">
        <v>51</v>
      </c>
      <c r="C10" s="4" t="s">
        <v>52</v>
      </c>
      <c r="G10" s="4" t="s">
        <v>38</v>
      </c>
    </row>
    <row r="11" ht="60" spans="1:22">
      <c r="A11" s="7">
        <v>4.4</v>
      </c>
      <c r="B11" s="7" t="s">
        <v>53</v>
      </c>
      <c r="C11" s="4" t="s">
        <v>54</v>
      </c>
      <c r="G11" s="4" t="s">
        <v>32</v>
      </c>
      <c r="H11" s="4" t="s">
        <v>55</v>
      </c>
      <c r="I11" s="4" t="s">
        <v>21</v>
      </c>
      <c r="V11" s="4" t="b">
        <v>1</v>
      </c>
    </row>
    <row r="12" spans="1:2">
      <c r="A12" s="7"/>
      <c r="B12" s="7"/>
    </row>
    <row r="13" spans="1:7">
      <c r="A13" s="7">
        <v>5</v>
      </c>
      <c r="B13" s="7" t="s">
        <v>56</v>
      </c>
      <c r="G13" s="4" t="s">
        <v>28</v>
      </c>
    </row>
    <row r="14" spans="1:7">
      <c r="A14" s="7">
        <v>5.1</v>
      </c>
      <c r="B14" s="7" t="s">
        <v>57</v>
      </c>
      <c r="G14" s="4" t="s">
        <v>32</v>
      </c>
    </row>
    <row r="15" ht="90" spans="1:7">
      <c r="A15" s="8" t="s">
        <v>58</v>
      </c>
      <c r="B15" s="8" t="s">
        <v>59</v>
      </c>
      <c r="C15" s="4" t="s">
        <v>60</v>
      </c>
      <c r="G15" s="4" t="s">
        <v>38</v>
      </c>
    </row>
    <row r="16" ht="75" spans="1:7">
      <c r="A16" s="8" t="s">
        <v>61</v>
      </c>
      <c r="B16" s="8" t="s">
        <v>62</v>
      </c>
      <c r="C16" s="4" t="s">
        <v>63</v>
      </c>
      <c r="G16" s="4" t="s">
        <v>38</v>
      </c>
    </row>
    <row r="17" ht="75" spans="1:7">
      <c r="A17" s="8" t="s">
        <v>64</v>
      </c>
      <c r="B17" s="8" t="s">
        <v>65</v>
      </c>
      <c r="C17" s="4" t="s">
        <v>66</v>
      </c>
      <c r="G17" s="4" t="s">
        <v>38</v>
      </c>
    </row>
    <row r="18" ht="90" spans="1:7">
      <c r="A18" s="8" t="s">
        <v>67</v>
      </c>
      <c r="B18" s="8" t="s">
        <v>68</v>
      </c>
      <c r="C18" s="4" t="s">
        <v>69</v>
      </c>
      <c r="G18" s="4" t="s">
        <v>38</v>
      </c>
    </row>
    <row r="19" ht="60" spans="1:7">
      <c r="A19" s="8" t="s">
        <v>70</v>
      </c>
      <c r="B19" s="8" t="s">
        <v>71</v>
      </c>
      <c r="C19" s="4" t="s">
        <v>72</v>
      </c>
      <c r="G19" s="4" t="s">
        <v>38</v>
      </c>
    </row>
    <row r="20" ht="75" spans="1:7">
      <c r="A20" s="8" t="s">
        <v>73</v>
      </c>
      <c r="B20" s="8" t="s">
        <v>74</v>
      </c>
      <c r="C20" s="4" t="s">
        <v>75</v>
      </c>
      <c r="G20" s="4" t="s">
        <v>38</v>
      </c>
    </row>
    <row r="21" ht="60" spans="1:22">
      <c r="A21" s="8" t="s">
        <v>76</v>
      </c>
      <c r="B21" s="8" t="s">
        <v>77</v>
      </c>
      <c r="C21" s="4" t="s">
        <v>78</v>
      </c>
      <c r="G21" s="4" t="s">
        <v>38</v>
      </c>
      <c r="H21" s="4" t="s">
        <v>55</v>
      </c>
      <c r="I21" s="4" t="s">
        <v>21</v>
      </c>
      <c r="V21" s="4" t="b">
        <v>1</v>
      </c>
    </row>
    <row r="22" ht="75" spans="1:7">
      <c r="A22" s="8" t="s">
        <v>79</v>
      </c>
      <c r="B22" s="8" t="s">
        <v>80</v>
      </c>
      <c r="C22" s="4" t="s">
        <v>81</v>
      </c>
      <c r="G22" s="4" t="s">
        <v>38</v>
      </c>
    </row>
    <row r="23" spans="1:7">
      <c r="A23" s="7">
        <v>5.2</v>
      </c>
      <c r="B23" s="7" t="s">
        <v>82</v>
      </c>
      <c r="G23" s="4" t="s">
        <v>32</v>
      </c>
    </row>
    <row r="24" ht="45" spans="1:7">
      <c r="A24" s="8" t="s">
        <v>83</v>
      </c>
      <c r="B24" s="8" t="s">
        <v>84</v>
      </c>
      <c r="C24" s="4" t="s">
        <v>85</v>
      </c>
      <c r="G24" s="4" t="s">
        <v>38</v>
      </c>
    </row>
    <row r="25" ht="60" spans="1:7">
      <c r="A25" s="8" t="s">
        <v>86</v>
      </c>
      <c r="B25" s="8" t="s">
        <v>87</v>
      </c>
      <c r="C25" s="4" t="s">
        <v>88</v>
      </c>
      <c r="G25" s="4" t="s">
        <v>38</v>
      </c>
    </row>
    <row r="26" ht="45" spans="1:7">
      <c r="A26" s="8" t="s">
        <v>89</v>
      </c>
      <c r="B26" s="8" t="s">
        <v>90</v>
      </c>
      <c r="C26" s="4" t="s">
        <v>91</v>
      </c>
      <c r="G26" s="4" t="s">
        <v>38</v>
      </c>
    </row>
    <row r="27" ht="45" spans="1:22">
      <c r="A27" s="8" t="s">
        <v>92</v>
      </c>
      <c r="B27" s="8" t="s">
        <v>93</v>
      </c>
      <c r="C27" s="4" t="s">
        <v>94</v>
      </c>
      <c r="G27" s="4" t="s">
        <v>38</v>
      </c>
      <c r="H27" s="4" t="s">
        <v>55</v>
      </c>
      <c r="I27" s="4" t="s">
        <v>21</v>
      </c>
      <c r="V27" s="4" t="b">
        <v>1</v>
      </c>
    </row>
    <row r="28" ht="30" spans="1:25">
      <c r="A28" s="8" t="s">
        <v>95</v>
      </c>
      <c r="B28" s="8" t="s">
        <v>96</v>
      </c>
      <c r="C28" s="4" t="s">
        <v>97</v>
      </c>
      <c r="G28" s="4" t="s">
        <v>38</v>
      </c>
      <c r="H28" s="4" t="s">
        <v>98</v>
      </c>
      <c r="I28" s="4" t="s">
        <v>24</v>
      </c>
      <c r="Y28" s="4" t="b">
        <v>1</v>
      </c>
    </row>
    <row r="29" ht="30" spans="1:7">
      <c r="A29" s="8" t="s">
        <v>99</v>
      </c>
      <c r="B29" s="8" t="s">
        <v>100</v>
      </c>
      <c r="C29" s="4" t="s">
        <v>101</v>
      </c>
      <c r="G29" s="4" t="s">
        <v>38</v>
      </c>
    </row>
    <row r="30" ht="30" spans="1:7">
      <c r="A30" s="8" t="s">
        <v>102</v>
      </c>
      <c r="B30" s="8" t="s">
        <v>103</v>
      </c>
      <c r="C30" s="4" t="s">
        <v>104</v>
      </c>
      <c r="G30" s="4" t="s">
        <v>38</v>
      </c>
    </row>
    <row r="31" ht="75" spans="1:7">
      <c r="A31" s="7">
        <v>5.3</v>
      </c>
      <c r="B31" s="7" t="s">
        <v>105</v>
      </c>
      <c r="C31" s="4" t="s">
        <v>106</v>
      </c>
      <c r="E31" s="4" t="s">
        <v>107</v>
      </c>
      <c r="G31" s="4" t="s">
        <v>32</v>
      </c>
    </row>
    <row r="32" ht="60" spans="1:7">
      <c r="A32" s="8" t="s">
        <v>108</v>
      </c>
      <c r="B32" s="8" t="s">
        <v>109</v>
      </c>
      <c r="C32" s="4" t="s">
        <v>110</v>
      </c>
      <c r="G32" s="4" t="s">
        <v>38</v>
      </c>
    </row>
    <row r="33" ht="45" spans="1:7">
      <c r="A33" s="8" t="s">
        <v>111</v>
      </c>
      <c r="B33" s="8" t="s">
        <v>112</v>
      </c>
      <c r="C33" s="4" t="s">
        <v>113</v>
      </c>
      <c r="G33" s="4" t="s">
        <v>38</v>
      </c>
    </row>
    <row r="34" spans="1:2">
      <c r="A34" s="8"/>
      <c r="B34" s="8"/>
    </row>
    <row r="35" spans="1:7">
      <c r="A35" s="7">
        <v>6</v>
      </c>
      <c r="B35" s="7" t="s">
        <v>114</v>
      </c>
      <c r="G35" s="4" t="s">
        <v>28</v>
      </c>
    </row>
    <row r="36" spans="1:7">
      <c r="A36" s="7">
        <v>6.1</v>
      </c>
      <c r="B36" s="7" t="s">
        <v>115</v>
      </c>
      <c r="G36" s="4" t="s">
        <v>32</v>
      </c>
    </row>
    <row r="37" spans="1:7">
      <c r="A37" s="7" t="s">
        <v>116</v>
      </c>
      <c r="B37" s="7" t="s">
        <v>117</v>
      </c>
      <c r="G37" s="4" t="s">
        <v>38</v>
      </c>
    </row>
    <row r="38" ht="90" spans="1:22">
      <c r="A38" s="8" t="s">
        <v>118</v>
      </c>
      <c r="B38" s="8" t="s">
        <v>119</v>
      </c>
      <c r="C38" s="4" t="s">
        <v>120</v>
      </c>
      <c r="G38" s="4" t="s">
        <v>38</v>
      </c>
      <c r="H38" s="4" t="s">
        <v>121</v>
      </c>
      <c r="I38" s="4" t="s">
        <v>122</v>
      </c>
      <c r="Q38" s="4" t="b">
        <v>1</v>
      </c>
      <c r="V38" s="4" t="b">
        <v>1</v>
      </c>
    </row>
    <row r="39" ht="75" spans="1:22">
      <c r="A39" s="8" t="s">
        <v>123</v>
      </c>
      <c r="B39" s="8" t="s">
        <v>124</v>
      </c>
      <c r="C39" s="4" t="s">
        <v>125</v>
      </c>
      <c r="G39" s="4" t="s">
        <v>38</v>
      </c>
      <c r="H39" s="4" t="s">
        <v>121</v>
      </c>
      <c r="I39" s="4" t="s">
        <v>122</v>
      </c>
      <c r="Q39" s="4" t="b">
        <v>1</v>
      </c>
      <c r="V39" s="4" t="b">
        <v>1</v>
      </c>
    </row>
    <row r="40" ht="75" spans="1:22">
      <c r="A40" s="8" t="s">
        <v>126</v>
      </c>
      <c r="B40" s="8" t="s">
        <v>127</v>
      </c>
      <c r="C40" s="4" t="s">
        <v>128</v>
      </c>
      <c r="G40" s="4" t="s">
        <v>38</v>
      </c>
      <c r="H40" s="4" t="s">
        <v>121</v>
      </c>
      <c r="I40" s="4" t="s">
        <v>122</v>
      </c>
      <c r="Q40" s="4" t="b">
        <v>1</v>
      </c>
      <c r="V40" s="4" t="b">
        <v>1</v>
      </c>
    </row>
    <row r="41" ht="30" spans="1:22">
      <c r="A41" s="8" t="s">
        <v>129</v>
      </c>
      <c r="B41" s="8" t="s">
        <v>130</v>
      </c>
      <c r="C41" s="4" t="s">
        <v>131</v>
      </c>
      <c r="G41" s="4" t="s">
        <v>38</v>
      </c>
      <c r="H41" s="4" t="s">
        <v>121</v>
      </c>
      <c r="I41" s="4" t="s">
        <v>122</v>
      </c>
      <c r="Q41" s="4" t="b">
        <v>1</v>
      </c>
      <c r="V41" s="4" t="b">
        <v>1</v>
      </c>
    </row>
    <row r="42" spans="1:7">
      <c r="A42" s="8" t="s">
        <v>132</v>
      </c>
      <c r="B42" s="8" t="s">
        <v>133</v>
      </c>
      <c r="C42" s="4" t="s">
        <v>134</v>
      </c>
      <c r="G42" s="4" t="s">
        <v>38</v>
      </c>
    </row>
    <row r="43" ht="45" spans="1:22">
      <c r="A43" s="8" t="s">
        <v>135</v>
      </c>
      <c r="B43" s="8" t="s">
        <v>136</v>
      </c>
      <c r="C43" s="4" t="s">
        <v>137</v>
      </c>
      <c r="G43" s="4" t="s">
        <v>38</v>
      </c>
      <c r="H43" s="4" t="s">
        <v>121</v>
      </c>
      <c r="I43" s="4" t="s">
        <v>122</v>
      </c>
      <c r="Q43" s="4" t="b">
        <v>1</v>
      </c>
      <c r="V43" s="4" t="b">
        <v>1</v>
      </c>
    </row>
    <row r="44" ht="30" spans="1:22">
      <c r="A44" s="8" t="s">
        <v>138</v>
      </c>
      <c r="B44" s="8" t="s">
        <v>139</v>
      </c>
      <c r="C44" s="4" t="s">
        <v>140</v>
      </c>
      <c r="G44" s="4" t="s">
        <v>38</v>
      </c>
      <c r="H44" s="4" t="s">
        <v>121</v>
      </c>
      <c r="I44" s="4" t="s">
        <v>122</v>
      </c>
      <c r="Q44" s="4" t="b">
        <v>1</v>
      </c>
      <c r="V44" s="4" t="b">
        <v>1</v>
      </c>
    </row>
    <row r="45" ht="30" spans="1:7">
      <c r="A45" s="7" t="s">
        <v>141</v>
      </c>
      <c r="B45" s="7" t="s">
        <v>142</v>
      </c>
      <c r="C45" s="4" t="s">
        <v>143</v>
      </c>
      <c r="G45" s="4" t="s">
        <v>38</v>
      </c>
    </row>
    <row r="46" ht="45" spans="1:7">
      <c r="A46" s="8" t="s">
        <v>144</v>
      </c>
      <c r="B46" s="8" t="s">
        <v>145</v>
      </c>
      <c r="C46" s="4" t="s">
        <v>146</v>
      </c>
      <c r="G46" s="4" t="s">
        <v>38</v>
      </c>
    </row>
    <row r="47" ht="60" spans="1:17">
      <c r="A47" s="8" t="s">
        <v>147</v>
      </c>
      <c r="B47" s="8" t="s">
        <v>148</v>
      </c>
      <c r="C47" s="4" t="s">
        <v>149</v>
      </c>
      <c r="G47" s="4" t="s">
        <v>38</v>
      </c>
      <c r="H47" s="4" t="s">
        <v>150</v>
      </c>
      <c r="I47" s="4" t="s">
        <v>16</v>
      </c>
      <c r="Q47" s="4" t="b">
        <v>1</v>
      </c>
    </row>
    <row r="48" ht="60" spans="1:17">
      <c r="A48" s="8" t="s">
        <v>151</v>
      </c>
      <c r="B48" s="8" t="s">
        <v>152</v>
      </c>
      <c r="C48" s="4" t="s">
        <v>153</v>
      </c>
      <c r="G48" s="4" t="s">
        <v>38</v>
      </c>
      <c r="H48" s="4" t="s">
        <v>150</v>
      </c>
      <c r="I48" s="4" t="s">
        <v>16</v>
      </c>
      <c r="Q48" s="4" t="b">
        <v>1</v>
      </c>
    </row>
    <row r="49" ht="60" spans="1:17">
      <c r="A49" s="8" t="s">
        <v>154</v>
      </c>
      <c r="B49" s="8" t="s">
        <v>155</v>
      </c>
      <c r="C49" s="4" t="s">
        <v>156</v>
      </c>
      <c r="G49" s="4" t="s">
        <v>38</v>
      </c>
      <c r="H49" s="4" t="s">
        <v>150</v>
      </c>
      <c r="I49" s="4" t="s">
        <v>16</v>
      </c>
      <c r="Q49" s="4" t="b">
        <v>1</v>
      </c>
    </row>
    <row r="50" ht="45" spans="1:7">
      <c r="A50" s="8" t="s">
        <v>157</v>
      </c>
      <c r="B50" s="8" t="s">
        <v>158</v>
      </c>
      <c r="C50" s="4" t="s">
        <v>159</v>
      </c>
      <c r="G50" s="4" t="s">
        <v>38</v>
      </c>
    </row>
    <row r="51" ht="105" spans="1:17">
      <c r="A51" s="8" t="s">
        <v>160</v>
      </c>
      <c r="B51" s="8" t="s">
        <v>161</v>
      </c>
      <c r="C51" s="4" t="s">
        <v>162</v>
      </c>
      <c r="G51" s="4" t="s">
        <v>38</v>
      </c>
      <c r="H51" s="4" t="s">
        <v>150</v>
      </c>
      <c r="I51" s="4" t="s">
        <v>16</v>
      </c>
      <c r="Q51" s="4" t="b">
        <v>1</v>
      </c>
    </row>
    <row r="52" ht="45" spans="1:17">
      <c r="A52" s="8" t="s">
        <v>163</v>
      </c>
      <c r="B52" s="8" t="s">
        <v>164</v>
      </c>
      <c r="C52" s="4" t="s">
        <v>165</v>
      </c>
      <c r="G52" s="4" t="s">
        <v>38</v>
      </c>
      <c r="H52" s="4" t="s">
        <v>150</v>
      </c>
      <c r="I52" s="4" t="s">
        <v>16</v>
      </c>
      <c r="Q52" s="4" t="b">
        <v>1</v>
      </c>
    </row>
    <row r="53" ht="45" spans="1:7">
      <c r="A53" s="8" t="s">
        <v>166</v>
      </c>
      <c r="B53" s="8" t="s">
        <v>167</v>
      </c>
      <c r="C53" s="4" t="s">
        <v>168</v>
      </c>
      <c r="G53" s="4" t="s">
        <v>38</v>
      </c>
    </row>
    <row r="54" ht="75" spans="1:17">
      <c r="A54" s="8" t="s">
        <v>169</v>
      </c>
      <c r="B54" s="8" t="s">
        <v>170</v>
      </c>
      <c r="C54" s="4" t="s">
        <v>171</v>
      </c>
      <c r="G54" s="4" t="s">
        <v>38</v>
      </c>
      <c r="H54" s="4" t="s">
        <v>150</v>
      </c>
      <c r="I54" s="4" t="s">
        <v>16</v>
      </c>
      <c r="Q54" s="4" t="b">
        <v>1</v>
      </c>
    </row>
    <row r="55" ht="60" spans="1:17">
      <c r="A55" s="8" t="s">
        <v>172</v>
      </c>
      <c r="B55" s="8" t="s">
        <v>173</v>
      </c>
      <c r="C55" s="4" t="s">
        <v>174</v>
      </c>
      <c r="G55" s="4" t="s">
        <v>38</v>
      </c>
      <c r="H55" s="4" t="s">
        <v>150</v>
      </c>
      <c r="I55" s="4" t="s">
        <v>16</v>
      </c>
      <c r="Q55" s="4" t="b">
        <v>1</v>
      </c>
    </row>
    <row r="56" ht="45" spans="1:17">
      <c r="A56" s="8" t="s">
        <v>175</v>
      </c>
      <c r="B56" s="8" t="s">
        <v>176</v>
      </c>
      <c r="C56" s="4" t="s">
        <v>177</v>
      </c>
      <c r="G56" s="4" t="s">
        <v>38</v>
      </c>
      <c r="H56" s="4" t="s">
        <v>150</v>
      </c>
      <c r="I56" s="4" t="s">
        <v>16</v>
      </c>
      <c r="Q56" s="4" t="b">
        <v>1</v>
      </c>
    </row>
    <row r="57" ht="45" spans="1:7">
      <c r="A57" s="8" t="s">
        <v>178</v>
      </c>
      <c r="B57" s="8" t="s">
        <v>179</v>
      </c>
      <c r="C57" s="4" t="s">
        <v>180</v>
      </c>
      <c r="G57" s="4" t="s">
        <v>38</v>
      </c>
    </row>
    <row r="58" ht="60" spans="1:17">
      <c r="A58" s="8" t="s">
        <v>181</v>
      </c>
      <c r="B58" s="8" t="s">
        <v>182</v>
      </c>
      <c r="C58" s="4" t="s">
        <v>183</v>
      </c>
      <c r="G58" s="4" t="s">
        <v>38</v>
      </c>
      <c r="H58" s="4" t="s">
        <v>150</v>
      </c>
      <c r="I58" s="4" t="s">
        <v>16</v>
      </c>
      <c r="Q58" s="4" t="b">
        <v>1</v>
      </c>
    </row>
    <row r="59" ht="60" spans="1:17">
      <c r="A59" s="8" t="s">
        <v>184</v>
      </c>
      <c r="B59" s="8" t="s">
        <v>185</v>
      </c>
      <c r="C59" s="4" t="s">
        <v>186</v>
      </c>
      <c r="G59" s="4" t="s">
        <v>38</v>
      </c>
      <c r="H59" s="4" t="s">
        <v>150</v>
      </c>
      <c r="I59" s="4" t="s">
        <v>16</v>
      </c>
      <c r="Q59" s="4" t="b">
        <v>1</v>
      </c>
    </row>
    <row r="60" ht="60" spans="1:7">
      <c r="A60" s="7" t="s">
        <v>187</v>
      </c>
      <c r="B60" s="7" t="s">
        <v>188</v>
      </c>
      <c r="C60" s="4" t="s">
        <v>189</v>
      </c>
      <c r="E60" s="4" t="s">
        <v>190</v>
      </c>
      <c r="G60" s="4" t="s">
        <v>38</v>
      </c>
    </row>
    <row r="61" ht="60" spans="1:17">
      <c r="A61" s="8" t="s">
        <v>191</v>
      </c>
      <c r="B61" s="8" t="s">
        <v>192</v>
      </c>
      <c r="C61" s="4" t="s">
        <v>193</v>
      </c>
      <c r="G61" s="4" t="s">
        <v>38</v>
      </c>
      <c r="H61" s="4" t="s">
        <v>150</v>
      </c>
      <c r="I61" s="4" t="s">
        <v>16</v>
      </c>
      <c r="Q61" s="4" t="b">
        <v>1</v>
      </c>
    </row>
    <row r="62" ht="60" spans="1:17">
      <c r="A62" s="8" t="s">
        <v>194</v>
      </c>
      <c r="B62" s="8" t="s">
        <v>195</v>
      </c>
      <c r="C62" s="4" t="s">
        <v>196</v>
      </c>
      <c r="E62" s="4" t="s">
        <v>197</v>
      </c>
      <c r="G62" s="4" t="s">
        <v>38</v>
      </c>
      <c r="H62" s="4" t="s">
        <v>150</v>
      </c>
      <c r="I62" s="4" t="s">
        <v>16</v>
      </c>
      <c r="Q62" s="4" t="b">
        <v>1</v>
      </c>
    </row>
    <row r="63" ht="180" spans="1:17">
      <c r="A63" s="8" t="s">
        <v>198</v>
      </c>
      <c r="B63" s="8" t="s">
        <v>199</v>
      </c>
      <c r="C63" s="4" t="s">
        <v>200</v>
      </c>
      <c r="E63" s="4" t="s">
        <v>201</v>
      </c>
      <c r="G63" s="4" t="s">
        <v>38</v>
      </c>
      <c r="H63" s="4" t="s">
        <v>150</v>
      </c>
      <c r="I63" s="4" t="s">
        <v>16</v>
      </c>
      <c r="Q63" s="4" t="b">
        <v>1</v>
      </c>
    </row>
    <row r="64" ht="90" spans="1:17">
      <c r="A64" s="8" t="s">
        <v>202</v>
      </c>
      <c r="B64" s="8" t="s">
        <v>203</v>
      </c>
      <c r="C64" s="4" t="s">
        <v>204</v>
      </c>
      <c r="G64" s="4" t="s">
        <v>38</v>
      </c>
      <c r="H64" s="4" t="s">
        <v>150</v>
      </c>
      <c r="I64" s="4" t="s">
        <v>16</v>
      </c>
      <c r="Q64" s="4" t="b">
        <v>1</v>
      </c>
    </row>
    <row r="65" ht="45" spans="1:17">
      <c r="A65" s="8" t="s">
        <v>205</v>
      </c>
      <c r="B65" s="8" t="s">
        <v>206</v>
      </c>
      <c r="C65" s="4" t="s">
        <v>207</v>
      </c>
      <c r="G65" s="4" t="s">
        <v>38</v>
      </c>
      <c r="H65" s="4" t="s">
        <v>150</v>
      </c>
      <c r="I65" s="4" t="s">
        <v>16</v>
      </c>
      <c r="Q65" s="4" t="b">
        <v>1</v>
      </c>
    </row>
    <row r="66" ht="60" spans="1:17">
      <c r="A66" s="8" t="s">
        <v>208</v>
      </c>
      <c r="B66" s="8" t="s">
        <v>209</v>
      </c>
      <c r="C66" s="4" t="s">
        <v>210</v>
      </c>
      <c r="G66" s="4" t="s">
        <v>38</v>
      </c>
      <c r="H66" s="4" t="s">
        <v>150</v>
      </c>
      <c r="I66" s="4" t="s">
        <v>16</v>
      </c>
      <c r="Q66" s="4" t="b">
        <v>1</v>
      </c>
    </row>
    <row r="67" ht="75" spans="1:7">
      <c r="A67" s="7">
        <v>6.2</v>
      </c>
      <c r="B67" s="7" t="s">
        <v>211</v>
      </c>
      <c r="C67" s="4" t="s">
        <v>212</v>
      </c>
      <c r="G67" s="4" t="s">
        <v>32</v>
      </c>
    </row>
    <row r="68" ht="30" spans="1:7">
      <c r="A68" s="8" t="s">
        <v>213</v>
      </c>
      <c r="B68" s="8" t="s">
        <v>214</v>
      </c>
      <c r="C68" s="4" t="s">
        <v>215</v>
      </c>
      <c r="G68" s="4" t="s">
        <v>38</v>
      </c>
    </row>
    <row r="69" ht="30" spans="1:7">
      <c r="A69" s="8" t="s">
        <v>216</v>
      </c>
      <c r="B69" s="8" t="s">
        <v>217</v>
      </c>
      <c r="C69" s="4" t="s">
        <v>218</v>
      </c>
      <c r="G69" s="4" t="s">
        <v>38</v>
      </c>
    </row>
    <row r="70" ht="45" spans="1:17">
      <c r="A70" s="8" t="s">
        <v>219</v>
      </c>
      <c r="B70" s="8" t="s">
        <v>220</v>
      </c>
      <c r="C70" s="4" t="s">
        <v>221</v>
      </c>
      <c r="G70" s="4" t="s">
        <v>38</v>
      </c>
      <c r="H70" s="4" t="s">
        <v>150</v>
      </c>
      <c r="I70" s="4" t="s">
        <v>16</v>
      </c>
      <c r="Q70" s="4" t="b">
        <v>1</v>
      </c>
    </row>
    <row r="71" ht="30" spans="1:7">
      <c r="A71" s="8" t="s">
        <v>222</v>
      </c>
      <c r="B71" s="8" t="s">
        <v>223</v>
      </c>
      <c r="C71" s="4" t="s">
        <v>224</v>
      </c>
      <c r="G71" s="4" t="s">
        <v>38</v>
      </c>
    </row>
    <row r="72" ht="30" spans="1:7">
      <c r="A72" s="8" t="s">
        <v>225</v>
      </c>
      <c r="B72" s="8" t="s">
        <v>226</v>
      </c>
      <c r="C72" s="4" t="s">
        <v>227</v>
      </c>
      <c r="G72" s="4" t="s">
        <v>38</v>
      </c>
    </row>
    <row r="73" ht="45" spans="1:7">
      <c r="A73" s="8" t="s">
        <v>228</v>
      </c>
      <c r="B73" s="8" t="s">
        <v>229</v>
      </c>
      <c r="C73" s="4" t="s">
        <v>230</v>
      </c>
      <c r="G73" s="4" t="s">
        <v>38</v>
      </c>
    </row>
    <row r="74" ht="45" spans="1:7">
      <c r="A74" s="8" t="s">
        <v>231</v>
      </c>
      <c r="B74" s="8" t="s">
        <v>232</v>
      </c>
      <c r="C74" s="4" t="s">
        <v>233</v>
      </c>
      <c r="G74" s="4" t="s">
        <v>38</v>
      </c>
    </row>
    <row r="75" ht="45" spans="1:7">
      <c r="A75" s="8" t="s">
        <v>234</v>
      </c>
      <c r="B75" s="8" t="s">
        <v>235</v>
      </c>
      <c r="C75" s="4" t="s">
        <v>236</v>
      </c>
      <c r="G75" s="4" t="s">
        <v>38</v>
      </c>
    </row>
    <row r="76" ht="45" spans="1:7">
      <c r="A76" s="8" t="s">
        <v>237</v>
      </c>
      <c r="B76" s="8" t="s">
        <v>238</v>
      </c>
      <c r="C76" s="4" t="s">
        <v>239</v>
      </c>
      <c r="G76" s="4" t="s">
        <v>38</v>
      </c>
    </row>
    <row r="77" ht="45" spans="1:7">
      <c r="A77" s="8" t="s">
        <v>240</v>
      </c>
      <c r="B77" s="8" t="s">
        <v>241</v>
      </c>
      <c r="C77" s="4" t="s">
        <v>242</v>
      </c>
      <c r="G77" s="4" t="s">
        <v>38</v>
      </c>
    </row>
    <row r="78" spans="1:2">
      <c r="A78" s="8"/>
      <c r="B78" s="8"/>
    </row>
    <row r="79" spans="1:7">
      <c r="A79" s="7">
        <v>7</v>
      </c>
      <c r="B79" s="7" t="s">
        <v>243</v>
      </c>
      <c r="G79" s="4" t="s">
        <v>28</v>
      </c>
    </row>
    <row r="80" ht="60" spans="1:22">
      <c r="A80" s="7">
        <v>7.1</v>
      </c>
      <c r="B80" s="7" t="s">
        <v>244</v>
      </c>
      <c r="C80" s="4" t="s">
        <v>245</v>
      </c>
      <c r="G80" s="4" t="s">
        <v>32</v>
      </c>
      <c r="H80" s="4" t="s">
        <v>55</v>
      </c>
      <c r="I80" s="4" t="s">
        <v>21</v>
      </c>
      <c r="V80" s="4" t="b">
        <v>1</v>
      </c>
    </row>
    <row r="81" ht="60" spans="1:7">
      <c r="A81" s="7">
        <v>7.2</v>
      </c>
      <c r="B81" s="7" t="s">
        <v>246</v>
      </c>
      <c r="E81" s="4" t="s">
        <v>247</v>
      </c>
      <c r="G81" s="4" t="s">
        <v>32</v>
      </c>
    </row>
    <row r="82" ht="45" spans="1:7">
      <c r="A82" s="8" t="s">
        <v>248</v>
      </c>
      <c r="B82" s="8" t="s">
        <v>249</v>
      </c>
      <c r="C82" s="4" t="s">
        <v>250</v>
      </c>
      <c r="G82" s="4" t="s">
        <v>38</v>
      </c>
    </row>
    <row r="83" ht="45" spans="1:7">
      <c r="A83" s="8" t="s">
        <v>251</v>
      </c>
      <c r="B83" s="8" t="s">
        <v>252</v>
      </c>
      <c r="C83" s="4" t="s">
        <v>253</v>
      </c>
      <c r="G83" s="4" t="s">
        <v>38</v>
      </c>
    </row>
    <row r="84" ht="45" spans="1:7">
      <c r="A84" s="8" t="s">
        <v>254</v>
      </c>
      <c r="B84" s="8" t="s">
        <v>255</v>
      </c>
      <c r="C84" s="4" t="s">
        <v>256</v>
      </c>
      <c r="G84" s="4" t="s">
        <v>38</v>
      </c>
    </row>
    <row r="85" ht="30" spans="1:25">
      <c r="A85" s="8" t="s">
        <v>257</v>
      </c>
      <c r="B85" s="8" t="s">
        <v>258</v>
      </c>
      <c r="C85" s="4" t="s">
        <v>259</v>
      </c>
      <c r="G85" s="4" t="s">
        <v>38</v>
      </c>
      <c r="H85" s="4" t="s">
        <v>98</v>
      </c>
      <c r="I85" s="4" t="s">
        <v>24</v>
      </c>
      <c r="Y85" s="4" t="b">
        <v>1</v>
      </c>
    </row>
    <row r="86" spans="1:7">
      <c r="A86" s="7">
        <v>7.3</v>
      </c>
      <c r="B86" s="7" t="s">
        <v>260</v>
      </c>
      <c r="G86" s="4" t="s">
        <v>32</v>
      </c>
    </row>
    <row r="87" ht="30" spans="1:7">
      <c r="A87" s="8" t="s">
        <v>261</v>
      </c>
      <c r="B87" s="8" t="s">
        <v>262</v>
      </c>
      <c r="C87" s="4" t="s">
        <v>263</v>
      </c>
      <c r="G87" s="4" t="s">
        <v>38</v>
      </c>
    </row>
    <row r="88" ht="60" spans="1:7">
      <c r="A88" s="8" t="s">
        <v>264</v>
      </c>
      <c r="B88" s="8" t="s">
        <v>265</v>
      </c>
      <c r="C88" s="4" t="s">
        <v>266</v>
      </c>
      <c r="G88" s="4" t="s">
        <v>38</v>
      </c>
    </row>
    <row r="89" ht="45" spans="1:7">
      <c r="A89" s="8" t="s">
        <v>267</v>
      </c>
      <c r="B89" s="8" t="s">
        <v>268</v>
      </c>
      <c r="C89" s="4" t="s">
        <v>269</v>
      </c>
      <c r="G89" s="4" t="s">
        <v>38</v>
      </c>
    </row>
    <row r="90" spans="1:7">
      <c r="A90" s="7">
        <v>7.4</v>
      </c>
      <c r="B90" s="7" t="s">
        <v>270</v>
      </c>
      <c r="G90" s="4" t="s">
        <v>32</v>
      </c>
    </row>
    <row r="91" ht="45" spans="1:7">
      <c r="A91" s="8" t="s">
        <v>271</v>
      </c>
      <c r="B91" s="8" t="s">
        <v>272</v>
      </c>
      <c r="C91" s="4" t="s">
        <v>273</v>
      </c>
      <c r="G91" s="4" t="s">
        <v>38</v>
      </c>
    </row>
    <row r="92" ht="45" spans="1:7">
      <c r="A92" s="8" t="s">
        <v>274</v>
      </c>
      <c r="B92" s="8" t="s">
        <v>275</v>
      </c>
      <c r="C92" s="4" t="s">
        <v>276</v>
      </c>
      <c r="G92" s="4" t="s">
        <v>38</v>
      </c>
    </row>
    <row r="93" ht="60" spans="1:7">
      <c r="A93" s="8" t="s">
        <v>277</v>
      </c>
      <c r="B93" s="8" t="s">
        <v>278</v>
      </c>
      <c r="C93" s="4" t="s">
        <v>279</v>
      </c>
      <c r="G93" s="4" t="s">
        <v>38</v>
      </c>
    </row>
    <row r="94" ht="45" spans="1:7">
      <c r="A94" s="8" t="s">
        <v>280</v>
      </c>
      <c r="B94" s="8" t="s">
        <v>281</v>
      </c>
      <c r="C94" s="4" t="s">
        <v>282</v>
      </c>
      <c r="G94" s="4" t="s">
        <v>38</v>
      </c>
    </row>
    <row r="95" ht="60" spans="1:7">
      <c r="A95" s="8" t="s">
        <v>283</v>
      </c>
      <c r="B95" s="8" t="s">
        <v>284</v>
      </c>
      <c r="C95" s="4" t="s">
        <v>285</v>
      </c>
      <c r="G95" s="4" t="s">
        <v>38</v>
      </c>
    </row>
    <row r="96" spans="1:7">
      <c r="A96" s="7">
        <v>7.5</v>
      </c>
      <c r="B96" s="7" t="s">
        <v>286</v>
      </c>
      <c r="G96" s="4" t="s">
        <v>32</v>
      </c>
    </row>
    <row r="97" ht="180" spans="1:7">
      <c r="A97" s="7" t="s">
        <v>287</v>
      </c>
      <c r="B97" s="7" t="s">
        <v>117</v>
      </c>
      <c r="E97" s="4" t="s">
        <v>288</v>
      </c>
      <c r="G97" s="4" t="s">
        <v>38</v>
      </c>
    </row>
    <row r="98" ht="45" spans="1:25">
      <c r="A98" s="8" t="s">
        <v>289</v>
      </c>
      <c r="B98" s="8" t="s">
        <v>290</v>
      </c>
      <c r="C98" s="4" t="s">
        <v>291</v>
      </c>
      <c r="G98" s="4" t="s">
        <v>38</v>
      </c>
      <c r="H98" s="4" t="s">
        <v>98</v>
      </c>
      <c r="I98" s="4" t="s">
        <v>24</v>
      </c>
      <c r="Y98" s="4" t="b">
        <v>1</v>
      </c>
    </row>
    <row r="99" ht="75" spans="1:25">
      <c r="A99" s="8" t="s">
        <v>292</v>
      </c>
      <c r="B99" s="8" t="s">
        <v>293</v>
      </c>
      <c r="C99" s="4" t="s">
        <v>294</v>
      </c>
      <c r="G99" s="4" t="s">
        <v>38</v>
      </c>
      <c r="H99" s="4" t="s">
        <v>98</v>
      </c>
      <c r="I99" s="4" t="s">
        <v>24</v>
      </c>
      <c r="Y99" s="4" t="b">
        <v>1</v>
      </c>
    </row>
    <row r="100" spans="1:7">
      <c r="A100" s="7" t="s">
        <v>295</v>
      </c>
      <c r="B100" s="7" t="s">
        <v>296</v>
      </c>
      <c r="G100" s="4" t="s">
        <v>38</v>
      </c>
    </row>
    <row r="101" ht="60" spans="1:25">
      <c r="A101" s="8" t="s">
        <v>297</v>
      </c>
      <c r="B101" s="8" t="s">
        <v>298</v>
      </c>
      <c r="C101" s="4" t="s">
        <v>299</v>
      </c>
      <c r="G101" s="4" t="s">
        <v>38</v>
      </c>
      <c r="H101" s="4" t="s">
        <v>98</v>
      </c>
      <c r="I101" s="4" t="s">
        <v>24</v>
      </c>
      <c r="Y101" s="4" t="b">
        <v>1</v>
      </c>
    </row>
    <row r="102" ht="60" spans="1:25">
      <c r="A102" s="8" t="s">
        <v>300</v>
      </c>
      <c r="B102" s="8" t="s">
        <v>301</v>
      </c>
      <c r="C102" s="4" t="s">
        <v>302</v>
      </c>
      <c r="G102" s="4" t="s">
        <v>38</v>
      </c>
      <c r="H102" s="4" t="s">
        <v>98</v>
      </c>
      <c r="I102" s="4" t="s">
        <v>24</v>
      </c>
      <c r="Y102" s="4" t="b">
        <v>1</v>
      </c>
    </row>
    <row r="103" ht="45" spans="1:25">
      <c r="A103" s="8" t="s">
        <v>303</v>
      </c>
      <c r="B103" s="8" t="s">
        <v>304</v>
      </c>
      <c r="C103" s="4" t="s">
        <v>305</v>
      </c>
      <c r="G103" s="4" t="s">
        <v>38</v>
      </c>
      <c r="H103" s="4" t="s">
        <v>98</v>
      </c>
      <c r="I103" s="4" t="s">
        <v>24</v>
      </c>
      <c r="Y103" s="4" t="b">
        <v>1</v>
      </c>
    </row>
    <row r="104" ht="60" spans="1:7">
      <c r="A104" s="7" t="s">
        <v>306</v>
      </c>
      <c r="B104" s="7" t="s">
        <v>307</v>
      </c>
      <c r="C104" s="4" t="s">
        <v>308</v>
      </c>
      <c r="E104" s="4" t="s">
        <v>309</v>
      </c>
      <c r="G104" s="4" t="s">
        <v>38</v>
      </c>
    </row>
    <row r="105" ht="60" spans="1:25">
      <c r="A105" s="8" t="s">
        <v>310</v>
      </c>
      <c r="B105" s="8" t="s">
        <v>311</v>
      </c>
      <c r="C105" s="4" t="s">
        <v>312</v>
      </c>
      <c r="G105" s="4" t="s">
        <v>38</v>
      </c>
      <c r="H105" s="4" t="s">
        <v>98</v>
      </c>
      <c r="I105" s="4" t="s">
        <v>24</v>
      </c>
      <c r="Y105" s="4" t="b">
        <v>1</v>
      </c>
    </row>
    <row r="106" ht="75" spans="1:25">
      <c r="A106" s="8" t="s">
        <v>313</v>
      </c>
      <c r="B106" s="8" t="s">
        <v>314</v>
      </c>
      <c r="C106" s="4" t="s">
        <v>315</v>
      </c>
      <c r="G106" s="4" t="s">
        <v>38</v>
      </c>
      <c r="H106" s="4" t="s">
        <v>98</v>
      </c>
      <c r="I106" s="4" t="s">
        <v>24</v>
      </c>
      <c r="Y106" s="4" t="b">
        <v>1</v>
      </c>
    </row>
    <row r="107" ht="45" spans="1:25">
      <c r="A107" s="8" t="s">
        <v>316</v>
      </c>
      <c r="B107" s="8" t="s">
        <v>317</v>
      </c>
      <c r="C107" s="4" t="s">
        <v>318</v>
      </c>
      <c r="G107" s="4" t="s">
        <v>38</v>
      </c>
      <c r="H107" s="4" t="s">
        <v>98</v>
      </c>
      <c r="I107" s="4" t="s">
        <v>24</v>
      </c>
      <c r="Y107" s="4" t="b">
        <v>1</v>
      </c>
    </row>
    <row r="108" ht="60" spans="1:25">
      <c r="A108" s="8" t="s">
        <v>319</v>
      </c>
      <c r="B108" s="8" t="s">
        <v>320</v>
      </c>
      <c r="C108" s="4" t="s">
        <v>321</v>
      </c>
      <c r="G108" s="4" t="s">
        <v>38</v>
      </c>
      <c r="H108" s="4" t="s">
        <v>98</v>
      </c>
      <c r="I108" s="4" t="s">
        <v>24</v>
      </c>
      <c r="Y108" s="4" t="b">
        <v>1</v>
      </c>
    </row>
    <row r="109" ht="45" spans="1:25">
      <c r="A109" s="8" t="s">
        <v>322</v>
      </c>
      <c r="B109" s="8" t="s">
        <v>323</v>
      </c>
      <c r="C109" s="4" t="s">
        <v>324</v>
      </c>
      <c r="G109" s="4" t="s">
        <v>38</v>
      </c>
      <c r="H109" s="4" t="s">
        <v>98</v>
      </c>
      <c r="I109" s="4" t="s">
        <v>24</v>
      </c>
      <c r="Y109" s="4" t="b">
        <v>1</v>
      </c>
    </row>
    <row r="110" ht="45" spans="1:25">
      <c r="A110" s="8" t="s">
        <v>325</v>
      </c>
      <c r="B110" s="8" t="s">
        <v>326</v>
      </c>
      <c r="C110" s="4" t="s">
        <v>327</v>
      </c>
      <c r="G110" s="4" t="s">
        <v>38</v>
      </c>
      <c r="H110" s="4" t="s">
        <v>98</v>
      </c>
      <c r="I110" s="4" t="s">
        <v>24</v>
      </c>
      <c r="Y110" s="4" t="b">
        <v>1</v>
      </c>
    </row>
    <row r="111" spans="1:2">
      <c r="A111" s="8"/>
      <c r="B111" s="8"/>
    </row>
    <row r="112" spans="1:7">
      <c r="A112" s="7">
        <v>8</v>
      </c>
      <c r="B112" s="7" t="s">
        <v>328</v>
      </c>
      <c r="G112" s="4" t="s">
        <v>28</v>
      </c>
    </row>
    <row r="113" ht="240" spans="1:25">
      <c r="A113" s="7">
        <v>8.1</v>
      </c>
      <c r="B113" s="7" t="s">
        <v>329</v>
      </c>
      <c r="C113" s="4" t="s">
        <v>330</v>
      </c>
      <c r="G113" s="4" t="s">
        <v>32</v>
      </c>
      <c r="H113" s="4" t="s">
        <v>98</v>
      </c>
      <c r="I113" s="4" t="s">
        <v>24</v>
      </c>
      <c r="Y113" s="4" t="b">
        <v>1</v>
      </c>
    </row>
    <row r="114" ht="105" spans="1:25">
      <c r="A114" s="7">
        <v>8.2</v>
      </c>
      <c r="B114" s="7" t="s">
        <v>142</v>
      </c>
      <c r="C114" s="4" t="s">
        <v>331</v>
      </c>
      <c r="G114" s="4" t="s">
        <v>32</v>
      </c>
      <c r="H114" s="4" t="s">
        <v>332</v>
      </c>
      <c r="I114" s="4" t="s">
        <v>333</v>
      </c>
      <c r="Q114" s="4" t="b">
        <v>1</v>
      </c>
      <c r="Y114" s="4" t="b">
        <v>1</v>
      </c>
    </row>
    <row r="115" ht="75" spans="1:25">
      <c r="A115" s="7">
        <v>8.3</v>
      </c>
      <c r="B115" s="7" t="s">
        <v>188</v>
      </c>
      <c r="C115" s="4" t="s">
        <v>334</v>
      </c>
      <c r="G115" s="4" t="s">
        <v>32</v>
      </c>
      <c r="H115" s="4" t="s">
        <v>332</v>
      </c>
      <c r="I115" s="4" t="s">
        <v>333</v>
      </c>
      <c r="Q115" s="4" t="b">
        <v>1</v>
      </c>
      <c r="Y115" s="4" t="b">
        <v>1</v>
      </c>
    </row>
    <row r="116" spans="1:2">
      <c r="A116" s="8"/>
      <c r="B116" s="8"/>
    </row>
    <row r="117" spans="1:7">
      <c r="A117" s="7">
        <v>9</v>
      </c>
      <c r="B117" s="7" t="s">
        <v>335</v>
      </c>
      <c r="G117" s="4" t="s">
        <v>28</v>
      </c>
    </row>
    <row r="118" ht="105" spans="1:7">
      <c r="A118" s="7">
        <v>9.1</v>
      </c>
      <c r="B118" s="7" t="s">
        <v>336</v>
      </c>
      <c r="C118" s="4" t="s">
        <v>337</v>
      </c>
      <c r="G118" s="4" t="s">
        <v>32</v>
      </c>
    </row>
    <row r="119" ht="45" spans="1:7">
      <c r="A119" s="8" t="s">
        <v>338</v>
      </c>
      <c r="B119" s="8" t="s">
        <v>339</v>
      </c>
      <c r="C119" s="4" t="s">
        <v>340</v>
      </c>
      <c r="G119" s="4" t="s">
        <v>38</v>
      </c>
    </row>
    <row r="120" ht="45" spans="1:7">
      <c r="A120" s="8" t="s">
        <v>341</v>
      </c>
      <c r="B120" s="8" t="s">
        <v>342</v>
      </c>
      <c r="C120" s="4" t="s">
        <v>343</v>
      </c>
      <c r="E120" s="4" t="s">
        <v>344</v>
      </c>
      <c r="G120" s="4" t="s">
        <v>38</v>
      </c>
    </row>
    <row r="121" ht="30" spans="1:7">
      <c r="A121" s="8" t="s">
        <v>345</v>
      </c>
      <c r="B121" s="8" t="s">
        <v>346</v>
      </c>
      <c r="C121" s="4" t="s">
        <v>347</v>
      </c>
      <c r="G121" s="4" t="s">
        <v>38</v>
      </c>
    </row>
    <row r="122" ht="30" spans="1:7">
      <c r="A122" s="8" t="s">
        <v>348</v>
      </c>
      <c r="B122" s="8" t="s">
        <v>349</v>
      </c>
      <c r="C122" s="4" t="s">
        <v>350</v>
      </c>
      <c r="G122" s="4" t="s">
        <v>38</v>
      </c>
    </row>
    <row r="123" ht="45" spans="1:7">
      <c r="A123" s="8" t="s">
        <v>351</v>
      </c>
      <c r="B123" s="8" t="s">
        <v>352</v>
      </c>
      <c r="C123" s="4" t="s">
        <v>353</v>
      </c>
      <c r="G123" s="4" t="s">
        <v>38</v>
      </c>
    </row>
    <row r="124" ht="30" spans="1:7">
      <c r="A124" s="8" t="s">
        <v>354</v>
      </c>
      <c r="B124" s="8" t="s">
        <v>355</v>
      </c>
      <c r="C124" s="4" t="s">
        <v>356</v>
      </c>
      <c r="G124" s="4" t="s">
        <v>38</v>
      </c>
    </row>
    <row r="125" spans="1:7">
      <c r="A125" s="7">
        <v>9.2</v>
      </c>
      <c r="B125" s="7" t="s">
        <v>357</v>
      </c>
      <c r="G125" s="4" t="s">
        <v>32</v>
      </c>
    </row>
    <row r="126" ht="45" spans="1:7">
      <c r="A126" s="8" t="s">
        <v>358</v>
      </c>
      <c r="B126" s="8" t="s">
        <v>359</v>
      </c>
      <c r="C126" s="4" t="s">
        <v>360</v>
      </c>
      <c r="G126" s="4" t="s">
        <v>38</v>
      </c>
    </row>
    <row r="127" ht="75" spans="1:19">
      <c r="A127" s="8" t="s">
        <v>361</v>
      </c>
      <c r="B127" s="8" t="s">
        <v>362</v>
      </c>
      <c r="C127" s="4" t="s">
        <v>363</v>
      </c>
      <c r="G127" s="4" t="s">
        <v>38</v>
      </c>
      <c r="H127" s="4" t="s">
        <v>364</v>
      </c>
      <c r="I127" s="4" t="s">
        <v>18</v>
      </c>
      <c r="S127" s="4" t="b">
        <v>1</v>
      </c>
    </row>
    <row r="128" ht="60" spans="1:19">
      <c r="A128" s="8" t="s">
        <v>365</v>
      </c>
      <c r="B128" s="8" t="s">
        <v>366</v>
      </c>
      <c r="C128" s="4" t="s">
        <v>367</v>
      </c>
      <c r="G128" s="4" t="s">
        <v>38</v>
      </c>
      <c r="H128" s="4" t="s">
        <v>364</v>
      </c>
      <c r="I128" s="4" t="s">
        <v>18</v>
      </c>
      <c r="S128" s="4" t="b">
        <v>1</v>
      </c>
    </row>
    <row r="129" ht="60" spans="1:19">
      <c r="A129" s="8" t="s">
        <v>368</v>
      </c>
      <c r="B129" s="8" t="s">
        <v>369</v>
      </c>
      <c r="C129" s="4" t="s">
        <v>370</v>
      </c>
      <c r="G129" s="4" t="s">
        <v>38</v>
      </c>
      <c r="H129" s="4" t="s">
        <v>364</v>
      </c>
      <c r="I129" s="4" t="s">
        <v>18</v>
      </c>
      <c r="S129" s="4" t="b">
        <v>1</v>
      </c>
    </row>
    <row r="130" ht="90" spans="1:19">
      <c r="A130" s="8" t="s">
        <v>371</v>
      </c>
      <c r="B130" s="8" t="s">
        <v>372</v>
      </c>
      <c r="C130" s="4" t="s">
        <v>373</v>
      </c>
      <c r="G130" s="4" t="s">
        <v>38</v>
      </c>
      <c r="H130" s="4" t="s">
        <v>364</v>
      </c>
      <c r="I130" s="4" t="s">
        <v>18</v>
      </c>
      <c r="S130" s="4" t="b">
        <v>1</v>
      </c>
    </row>
    <row r="131" ht="30" spans="1:19">
      <c r="A131" s="8" t="s">
        <v>374</v>
      </c>
      <c r="B131" s="8" t="s">
        <v>375</v>
      </c>
      <c r="C131" s="4" t="s">
        <v>376</v>
      </c>
      <c r="G131" s="4" t="s">
        <v>38</v>
      </c>
      <c r="H131" s="4" t="s">
        <v>364</v>
      </c>
      <c r="I131" s="4" t="s">
        <v>18</v>
      </c>
      <c r="S131" s="4" t="b">
        <v>1</v>
      </c>
    </row>
    <row r="132" ht="45" spans="1:19">
      <c r="A132" s="8" t="s">
        <v>377</v>
      </c>
      <c r="B132" s="8" t="s">
        <v>378</v>
      </c>
      <c r="C132" s="4" t="s">
        <v>379</v>
      </c>
      <c r="G132" s="4" t="s">
        <v>38</v>
      </c>
      <c r="H132" s="4" t="s">
        <v>364</v>
      </c>
      <c r="I132" s="4" t="s">
        <v>18</v>
      </c>
      <c r="S132" s="4" t="b">
        <v>1</v>
      </c>
    </row>
    <row r="133" ht="30" spans="1:19">
      <c r="A133" s="8" t="s">
        <v>380</v>
      </c>
      <c r="B133" s="8" t="s">
        <v>381</v>
      </c>
      <c r="C133" s="4" t="s">
        <v>382</v>
      </c>
      <c r="G133" s="4" t="s">
        <v>38</v>
      </c>
      <c r="H133" s="4" t="s">
        <v>364</v>
      </c>
      <c r="I133" s="4" t="s">
        <v>18</v>
      </c>
      <c r="S133" s="4" t="b">
        <v>1</v>
      </c>
    </row>
    <row r="134" ht="30" spans="1:25">
      <c r="A134" s="8" t="s">
        <v>383</v>
      </c>
      <c r="B134" s="8" t="s">
        <v>384</v>
      </c>
      <c r="C134" s="4" t="s">
        <v>385</v>
      </c>
      <c r="G134" s="4" t="s">
        <v>38</v>
      </c>
      <c r="H134" s="4" t="s">
        <v>386</v>
      </c>
      <c r="I134" s="4" t="s">
        <v>387</v>
      </c>
      <c r="S134" s="4" t="b">
        <v>1</v>
      </c>
      <c r="Y134" s="4" t="b">
        <v>1</v>
      </c>
    </row>
    <row r="135" ht="180" spans="1:7">
      <c r="A135" s="7">
        <v>9.3</v>
      </c>
      <c r="B135" s="7" t="s">
        <v>388</v>
      </c>
      <c r="C135" s="4" t="s">
        <v>389</v>
      </c>
      <c r="G135" s="4" t="s">
        <v>32</v>
      </c>
    </row>
    <row r="136" ht="30" spans="1:21">
      <c r="A136" s="8" t="s">
        <v>390</v>
      </c>
      <c r="B136" s="8" t="s">
        <v>391</v>
      </c>
      <c r="C136" s="4" t="s">
        <v>392</v>
      </c>
      <c r="G136" s="4" t="s">
        <v>38</v>
      </c>
      <c r="H136" s="4" t="s">
        <v>393</v>
      </c>
      <c r="I136" s="4" t="s">
        <v>394</v>
      </c>
      <c r="T136" s="4" t="b">
        <v>1</v>
      </c>
      <c r="U136" s="4" t="b">
        <v>1</v>
      </c>
    </row>
    <row r="137" ht="45" spans="1:21">
      <c r="A137" s="8" t="s">
        <v>395</v>
      </c>
      <c r="B137" s="8" t="s">
        <v>396</v>
      </c>
      <c r="C137" s="4" t="s">
        <v>397</v>
      </c>
      <c r="G137" s="4" t="s">
        <v>38</v>
      </c>
      <c r="H137" s="4" t="s">
        <v>393</v>
      </c>
      <c r="I137" s="4" t="s">
        <v>394</v>
      </c>
      <c r="T137" s="4" t="b">
        <v>1</v>
      </c>
      <c r="U137" s="4" t="b">
        <v>1</v>
      </c>
    </row>
    <row r="138" ht="45" spans="1:7">
      <c r="A138" s="8" t="s">
        <v>398</v>
      </c>
      <c r="B138" s="8" t="s">
        <v>399</v>
      </c>
      <c r="C138" s="4" t="s">
        <v>400</v>
      </c>
      <c r="G138" s="4" t="s">
        <v>38</v>
      </c>
    </row>
    <row r="139" ht="45" spans="1:21">
      <c r="A139" s="8" t="s">
        <v>401</v>
      </c>
      <c r="B139" s="8" t="s">
        <v>402</v>
      </c>
      <c r="C139" s="4" t="s">
        <v>403</v>
      </c>
      <c r="G139" s="4" t="s">
        <v>38</v>
      </c>
      <c r="H139" s="4" t="s">
        <v>404</v>
      </c>
      <c r="I139" s="4" t="s">
        <v>405</v>
      </c>
      <c r="R139" s="4" t="b">
        <v>1</v>
      </c>
      <c r="T139" s="4" t="b">
        <v>1</v>
      </c>
      <c r="U139" s="4" t="b">
        <v>1</v>
      </c>
    </row>
    <row r="140" ht="45" spans="1:21">
      <c r="A140" s="8" t="s">
        <v>406</v>
      </c>
      <c r="B140" s="8" t="s">
        <v>407</v>
      </c>
      <c r="C140" s="4" t="s">
        <v>408</v>
      </c>
      <c r="G140" s="4" t="s">
        <v>38</v>
      </c>
      <c r="H140" s="4" t="s">
        <v>393</v>
      </c>
      <c r="I140" s="4" t="s">
        <v>394</v>
      </c>
      <c r="T140" s="4" t="b">
        <v>1</v>
      </c>
      <c r="U140" s="4" t="b">
        <v>1</v>
      </c>
    </row>
    <row r="141" ht="45" spans="1:21">
      <c r="A141" s="8" t="s">
        <v>409</v>
      </c>
      <c r="B141" s="8" t="s">
        <v>410</v>
      </c>
      <c r="C141" s="4" t="s">
        <v>411</v>
      </c>
      <c r="G141" s="4" t="s">
        <v>38</v>
      </c>
      <c r="H141" s="4" t="s">
        <v>412</v>
      </c>
      <c r="I141" s="4" t="s">
        <v>413</v>
      </c>
      <c r="S141" s="4" t="b">
        <v>1</v>
      </c>
      <c r="T141" s="4" t="b">
        <v>1</v>
      </c>
      <c r="U141" s="4" t="b">
        <v>1</v>
      </c>
    </row>
    <row r="142" ht="45" spans="1:21">
      <c r="A142" s="8" t="s">
        <v>414</v>
      </c>
      <c r="B142" s="8" t="s">
        <v>415</v>
      </c>
      <c r="C142" s="4" t="s">
        <v>416</v>
      </c>
      <c r="G142" s="4" t="s">
        <v>38</v>
      </c>
      <c r="H142" s="4" t="s">
        <v>393</v>
      </c>
      <c r="I142" s="4" t="s">
        <v>394</v>
      </c>
      <c r="T142" s="4" t="b">
        <v>1</v>
      </c>
      <c r="U142" s="4" t="b">
        <v>1</v>
      </c>
    </row>
    <row r="143" ht="30" spans="1:21">
      <c r="A143" s="8" t="s">
        <v>417</v>
      </c>
      <c r="B143" s="8" t="s">
        <v>418</v>
      </c>
      <c r="C143" s="4" t="s">
        <v>419</v>
      </c>
      <c r="G143" s="4" t="s">
        <v>38</v>
      </c>
      <c r="H143" s="4" t="s">
        <v>393</v>
      </c>
      <c r="I143" s="4" t="s">
        <v>394</v>
      </c>
      <c r="T143" s="4" t="b">
        <v>1</v>
      </c>
      <c r="U143" s="4" t="b">
        <v>1</v>
      </c>
    </row>
    <row r="144" ht="45" spans="1:21">
      <c r="A144" s="8" t="s">
        <v>420</v>
      </c>
      <c r="B144" s="8" t="s">
        <v>421</v>
      </c>
      <c r="C144" s="4" t="s">
        <v>422</v>
      </c>
      <c r="G144" s="4" t="s">
        <v>38</v>
      </c>
      <c r="H144" s="4" t="s">
        <v>423</v>
      </c>
      <c r="I144" s="4" t="s">
        <v>424</v>
      </c>
      <c r="Q144" s="4" t="b">
        <v>1</v>
      </c>
      <c r="T144" s="4" t="b">
        <v>1</v>
      </c>
      <c r="U144" s="4" t="b">
        <v>1</v>
      </c>
    </row>
    <row r="145" ht="45" spans="1:22">
      <c r="A145" s="8" t="s">
        <v>425</v>
      </c>
      <c r="B145" s="8" t="s">
        <v>426</v>
      </c>
      <c r="C145" s="4" t="s">
        <v>427</v>
      </c>
      <c r="G145" s="4" t="s">
        <v>38</v>
      </c>
      <c r="H145" s="4" t="s">
        <v>428</v>
      </c>
      <c r="I145" s="4" t="s">
        <v>429</v>
      </c>
      <c r="T145" s="4" t="b">
        <v>1</v>
      </c>
      <c r="U145" s="4" t="b">
        <v>1</v>
      </c>
      <c r="V145" s="4" t="b">
        <v>1</v>
      </c>
    </row>
    <row r="146" spans="1:2">
      <c r="A146" s="8"/>
      <c r="B146" s="8"/>
    </row>
    <row r="147" spans="1:7">
      <c r="A147" s="7">
        <v>10</v>
      </c>
      <c r="B147" s="7" t="s">
        <v>430</v>
      </c>
      <c r="G147" s="4" t="s">
        <v>28</v>
      </c>
    </row>
    <row r="148" ht="30" spans="1:7">
      <c r="A148" s="7">
        <v>10.1</v>
      </c>
      <c r="B148" s="7" t="s">
        <v>431</v>
      </c>
      <c r="C148" s="4" t="s">
        <v>432</v>
      </c>
      <c r="G148" s="4" t="s">
        <v>32</v>
      </c>
    </row>
    <row r="149" ht="30" spans="1:7">
      <c r="A149" s="8" t="s">
        <v>433</v>
      </c>
      <c r="B149" s="8" t="s">
        <v>434</v>
      </c>
      <c r="C149" s="4" t="s">
        <v>435</v>
      </c>
      <c r="G149" s="4" t="s">
        <v>38</v>
      </c>
    </row>
    <row r="150" ht="45" spans="1:18">
      <c r="A150" s="8" t="s">
        <v>436</v>
      </c>
      <c r="B150" s="8" t="s">
        <v>437</v>
      </c>
      <c r="C150" s="4" t="s">
        <v>438</v>
      </c>
      <c r="G150" s="4" t="s">
        <v>38</v>
      </c>
      <c r="H150" s="4" t="s">
        <v>439</v>
      </c>
      <c r="I150" s="4" t="s">
        <v>17</v>
      </c>
      <c r="R150" s="4" t="b">
        <v>1</v>
      </c>
    </row>
    <row r="151" ht="45" spans="1:18">
      <c r="A151" s="8" t="s">
        <v>440</v>
      </c>
      <c r="B151" s="8" t="s">
        <v>441</v>
      </c>
      <c r="C151" s="4" t="s">
        <v>442</v>
      </c>
      <c r="G151" s="4" t="s">
        <v>38</v>
      </c>
      <c r="H151" s="4" t="s">
        <v>439</v>
      </c>
      <c r="I151" s="4" t="s">
        <v>17</v>
      </c>
      <c r="R151" s="4" t="b">
        <v>1</v>
      </c>
    </row>
    <row r="152" ht="60" spans="1:7">
      <c r="A152" s="8" t="s">
        <v>443</v>
      </c>
      <c r="B152" s="8" t="s">
        <v>444</v>
      </c>
      <c r="C152" s="4" t="s">
        <v>445</v>
      </c>
      <c r="G152" s="4" t="s">
        <v>38</v>
      </c>
    </row>
    <row r="153" ht="60" spans="1:18">
      <c r="A153" s="8" t="s">
        <v>446</v>
      </c>
      <c r="B153" s="8" t="s">
        <v>447</v>
      </c>
      <c r="C153" s="4" t="s">
        <v>448</v>
      </c>
      <c r="G153" s="4" t="s">
        <v>38</v>
      </c>
      <c r="H153" s="4" t="s">
        <v>439</v>
      </c>
      <c r="I153" s="4" t="s">
        <v>17</v>
      </c>
      <c r="R153" s="4" t="b">
        <v>1</v>
      </c>
    </row>
    <row r="154" ht="75" spans="1:18">
      <c r="A154" s="8" t="s">
        <v>449</v>
      </c>
      <c r="B154" s="8" t="s">
        <v>450</v>
      </c>
      <c r="C154" s="4" t="s">
        <v>451</v>
      </c>
      <c r="G154" s="4" t="s">
        <v>38</v>
      </c>
      <c r="H154" s="4" t="s">
        <v>439</v>
      </c>
      <c r="I154" s="4" t="s">
        <v>17</v>
      </c>
      <c r="R154" s="4" t="b">
        <v>1</v>
      </c>
    </row>
    <row r="155" ht="75" spans="1:18">
      <c r="A155" s="8" t="s">
        <v>452</v>
      </c>
      <c r="B155" s="8" t="s">
        <v>453</v>
      </c>
      <c r="C155" s="4" t="s">
        <v>454</v>
      </c>
      <c r="G155" s="4" t="s">
        <v>38</v>
      </c>
      <c r="H155" s="4" t="s">
        <v>439</v>
      </c>
      <c r="I155" s="4" t="s">
        <v>17</v>
      </c>
      <c r="R155" s="4" t="b">
        <v>1</v>
      </c>
    </row>
    <row r="156" ht="30" spans="1:18">
      <c r="A156" s="8" t="s">
        <v>455</v>
      </c>
      <c r="B156" s="8" t="s">
        <v>456</v>
      </c>
      <c r="C156" s="4" t="s">
        <v>457</v>
      </c>
      <c r="G156" s="4" t="s">
        <v>38</v>
      </c>
      <c r="H156" s="4" t="s">
        <v>439</v>
      </c>
      <c r="I156" s="4" t="s">
        <v>17</v>
      </c>
      <c r="R156" s="4" t="b">
        <v>1</v>
      </c>
    </row>
    <row r="157" ht="30" spans="1:18">
      <c r="A157" s="8" t="s">
        <v>458</v>
      </c>
      <c r="B157" s="8" t="s">
        <v>459</v>
      </c>
      <c r="C157" s="4" t="s">
        <v>460</v>
      </c>
      <c r="G157" s="4" t="s">
        <v>38</v>
      </c>
      <c r="H157" s="4" t="s">
        <v>439</v>
      </c>
      <c r="I157" s="4" t="s">
        <v>17</v>
      </c>
      <c r="R157" s="4" t="b">
        <v>1</v>
      </c>
    </row>
    <row r="158" ht="45" spans="1:18">
      <c r="A158" s="8" t="s">
        <v>461</v>
      </c>
      <c r="B158" s="8" t="s">
        <v>462</v>
      </c>
      <c r="C158" s="4" t="s">
        <v>463</v>
      </c>
      <c r="G158" s="4" t="s">
        <v>38</v>
      </c>
      <c r="H158" s="4" t="s">
        <v>439</v>
      </c>
      <c r="I158" s="4" t="s">
        <v>17</v>
      </c>
      <c r="R158" s="4" t="b">
        <v>1</v>
      </c>
    </row>
    <row r="159" ht="45" spans="1:25">
      <c r="A159" s="8" t="s">
        <v>464</v>
      </c>
      <c r="B159" s="8" t="s">
        <v>465</v>
      </c>
      <c r="C159" s="4" t="s">
        <v>466</v>
      </c>
      <c r="G159" s="4" t="s">
        <v>38</v>
      </c>
      <c r="H159" s="4" t="s">
        <v>467</v>
      </c>
      <c r="I159" s="4" t="s">
        <v>468</v>
      </c>
      <c r="R159" s="4" t="b">
        <v>1</v>
      </c>
      <c r="Y159" s="4" t="b">
        <v>1</v>
      </c>
    </row>
    <row r="160" ht="30" spans="1:25">
      <c r="A160" s="8" t="s">
        <v>469</v>
      </c>
      <c r="B160" s="8" t="s">
        <v>470</v>
      </c>
      <c r="C160" s="4" t="s">
        <v>471</v>
      </c>
      <c r="G160" s="4" t="s">
        <v>38</v>
      </c>
      <c r="H160" s="4" t="s">
        <v>467</v>
      </c>
      <c r="I160" s="4" t="s">
        <v>468</v>
      </c>
      <c r="R160" s="4" t="b">
        <v>1</v>
      </c>
      <c r="Y160" s="4" t="b">
        <v>1</v>
      </c>
    </row>
    <row r="161" ht="45" spans="1:22">
      <c r="A161" s="7">
        <v>10.2</v>
      </c>
      <c r="B161" s="7" t="s">
        <v>472</v>
      </c>
      <c r="C161" s="4" t="s">
        <v>473</v>
      </c>
      <c r="G161" s="4" t="s">
        <v>32</v>
      </c>
      <c r="H161" s="4" t="s">
        <v>55</v>
      </c>
      <c r="I161" s="4" t="s">
        <v>21</v>
      </c>
      <c r="V161" s="4" t="b">
        <v>1</v>
      </c>
    </row>
    <row r="162" spans="1:2">
      <c r="A162" s="8"/>
      <c r="B162" s="8"/>
    </row>
    <row r="163" spans="1:2">
      <c r="A163" s="8"/>
      <c r="B163" s="8"/>
    </row>
    <row r="164" spans="1:2">
      <c r="A164" s="8"/>
      <c r="B164" s="8"/>
    </row>
    <row r="165" spans="1:2">
      <c r="A165" s="8"/>
      <c r="B165" s="8"/>
    </row>
    <row r="166" spans="1:2">
      <c r="A166" s="8"/>
      <c r="B166" s="8"/>
    </row>
    <row r="167" spans="1:2">
      <c r="A167" s="8"/>
      <c r="B167" s="8"/>
    </row>
    <row r="168" spans="1:2">
      <c r="A168" s="8"/>
      <c r="B168" s="8"/>
    </row>
    <row r="169" spans="1:2">
      <c r="A169" s="8"/>
      <c r="B169" s="8"/>
    </row>
    <row r="170" spans="1:2">
      <c r="A170" s="8"/>
      <c r="B170" s="8"/>
    </row>
    <row r="171" spans="1:2">
      <c r="A171" s="8"/>
      <c r="B171" s="8"/>
    </row>
    <row r="172" spans="1:2">
      <c r="A172" s="8"/>
      <c r="B172" s="8"/>
    </row>
    <row r="173" spans="1:2">
      <c r="A173" s="8"/>
      <c r="B173" s="8"/>
    </row>
    <row r="174" spans="1:2">
      <c r="A174" s="8"/>
      <c r="B174" s="8"/>
    </row>
    <row r="175" spans="1:2">
      <c r="A175" s="8"/>
      <c r="B175" s="8"/>
    </row>
    <row r="176" spans="1:2">
      <c r="A176" s="8"/>
      <c r="B176" s="8"/>
    </row>
    <row r="177" spans="1:2">
      <c r="A177" s="8"/>
      <c r="B177" s="8"/>
    </row>
    <row r="178" spans="1:2">
      <c r="A178" s="8"/>
      <c r="B178" s="8"/>
    </row>
    <row r="179" spans="1:2">
      <c r="A179" s="8"/>
      <c r="B179" s="8"/>
    </row>
    <row r="180" spans="1:2">
      <c r="A180" s="8"/>
      <c r="B180" s="8"/>
    </row>
    <row r="181" spans="1:2">
      <c r="A181" s="8"/>
      <c r="B181" s="8"/>
    </row>
    <row r="182" spans="1:2">
      <c r="A182" s="8"/>
      <c r="B182" s="8"/>
    </row>
    <row r="183" spans="1:2">
      <c r="A183" s="8"/>
      <c r="B183" s="8"/>
    </row>
    <row r="184" spans="1:2">
      <c r="A184" s="8"/>
      <c r="B184" s="8"/>
    </row>
    <row r="185" spans="1:2">
      <c r="A185" s="8"/>
      <c r="B185" s="8"/>
    </row>
    <row r="186" spans="1:2">
      <c r="A186" s="8"/>
      <c r="B186" s="8"/>
    </row>
    <row r="187" spans="1:2">
      <c r="A187" s="8"/>
      <c r="B187" s="8"/>
    </row>
    <row r="188" spans="1:2">
      <c r="A188" s="8"/>
      <c r="B188" s="8"/>
    </row>
    <row r="189" spans="1:2">
      <c r="A189" s="8"/>
      <c r="B189" s="8"/>
    </row>
    <row r="190" spans="1:2">
      <c r="A190" s="8"/>
      <c r="B190" s="8"/>
    </row>
    <row r="191" spans="1:2">
      <c r="A191" s="8"/>
      <c r="B191" s="8"/>
    </row>
    <row r="192" spans="1:2">
      <c r="A192" s="8"/>
      <c r="B192" s="8"/>
    </row>
    <row r="193" spans="1:2">
      <c r="A193" s="8"/>
      <c r="B193" s="8"/>
    </row>
    <row r="194" spans="1:2">
      <c r="A194" s="8"/>
      <c r="B194" s="8"/>
    </row>
    <row r="195" spans="1:2">
      <c r="A195" s="8"/>
      <c r="B195" s="8"/>
    </row>
    <row r="196" spans="1:2">
      <c r="A196" s="8"/>
      <c r="B196" s="8"/>
    </row>
    <row r="197" spans="1:2">
      <c r="A197" s="8"/>
      <c r="B197" s="8"/>
    </row>
    <row r="198" spans="1:2">
      <c r="A198" s="8"/>
      <c r="B198" s="8"/>
    </row>
    <row r="199" spans="1:2">
      <c r="A199" s="8"/>
      <c r="B199" s="8"/>
    </row>
    <row r="200" spans="1:2">
      <c r="A200" s="8"/>
      <c r="B200" s="8"/>
    </row>
    <row r="201" spans="1:2">
      <c r="A201" s="8"/>
      <c r="B201" s="8"/>
    </row>
    <row r="202" spans="1:2">
      <c r="A202" s="8"/>
      <c r="B202" s="8"/>
    </row>
    <row r="203" spans="1:2">
      <c r="A203" s="8"/>
      <c r="B203" s="8"/>
    </row>
    <row r="204" spans="1:2">
      <c r="A204" s="8"/>
      <c r="B204" s="8"/>
    </row>
    <row r="205" spans="1:2">
      <c r="A205" s="8"/>
      <c r="B205" s="8"/>
    </row>
    <row r="206" spans="1:2">
      <c r="A206" s="8"/>
      <c r="B206" s="8"/>
    </row>
    <row r="207" spans="1:2">
      <c r="A207" s="8"/>
      <c r="B207" s="8"/>
    </row>
    <row r="208" spans="1:2">
      <c r="A208" s="8"/>
      <c r="B208" s="8"/>
    </row>
    <row r="209" spans="1:2">
      <c r="A209" s="8"/>
      <c r="B209" s="8"/>
    </row>
    <row r="210" spans="1:2">
      <c r="A210" s="8"/>
      <c r="B210" s="8"/>
    </row>
    <row r="211" spans="1:2">
      <c r="A211" s="8"/>
      <c r="B211" s="8"/>
    </row>
    <row r="212" spans="1:2">
      <c r="A212" s="8"/>
      <c r="B212" s="8"/>
    </row>
    <row r="213" spans="1:2">
      <c r="A213" s="8"/>
      <c r="B213" s="8"/>
    </row>
    <row r="214" spans="1:2">
      <c r="A214" s="8"/>
      <c r="B214" s="8"/>
    </row>
    <row r="215" spans="1:2">
      <c r="A215" s="8"/>
      <c r="B215" s="8"/>
    </row>
    <row r="216" spans="1:2">
      <c r="A216" s="8"/>
      <c r="B216" s="8"/>
    </row>
    <row r="217" spans="1:2">
      <c r="A217" s="8"/>
      <c r="B217" s="8"/>
    </row>
    <row r="218" spans="1:2">
      <c r="A218" s="8"/>
      <c r="B218" s="8"/>
    </row>
    <row r="219" spans="1:2">
      <c r="A219" s="8"/>
      <c r="B219" s="8"/>
    </row>
    <row r="220" spans="1:2">
      <c r="A220" s="8"/>
      <c r="B220" s="8"/>
    </row>
    <row r="221" spans="1:2">
      <c r="A221" s="8"/>
      <c r="B221" s="8"/>
    </row>
    <row r="222" spans="1:2">
      <c r="A222" s="8"/>
      <c r="B222" s="8"/>
    </row>
    <row r="223" spans="1:2">
      <c r="A223" s="9"/>
      <c r="B223" s="9"/>
    </row>
    <row r="224" spans="1:2">
      <c r="A224" s="9"/>
      <c r="B224" s="9"/>
    </row>
    <row r="225" spans="1:2">
      <c r="A225" s="9"/>
      <c r="B225" s="9"/>
    </row>
    <row r="226" spans="1:2">
      <c r="A226"/>
      <c r="B226"/>
    </row>
    <row r="227" spans="1:2">
      <c r="A227"/>
      <c r="B227"/>
    </row>
    <row r="228" spans="1:2">
      <c r="A228"/>
      <c r="B228"/>
    </row>
    <row r="229" spans="1:2">
      <c r="A229"/>
      <c r="B229"/>
    </row>
    <row r="230" spans="1:2">
      <c r="A230"/>
      <c r="B230"/>
    </row>
    <row r="231" spans="1:2">
      <c r="A231"/>
      <c r="B231"/>
    </row>
    <row r="232" spans="1:2">
      <c r="A232"/>
      <c r="B232"/>
    </row>
    <row r="233" spans="1:2">
      <c r="A233"/>
      <c r="B233"/>
    </row>
    <row r="234" spans="1:2">
      <c r="A234"/>
      <c r="B234"/>
    </row>
    <row r="235" spans="1:2">
      <c r="A235"/>
      <c r="B235"/>
    </row>
    <row r="236" spans="1:2">
      <c r="A236"/>
      <c r="B236"/>
    </row>
    <row r="237" spans="1:2">
      <c r="A237"/>
      <c r="B237"/>
    </row>
    <row r="238" spans="1:2">
      <c r="A238"/>
      <c r="B238"/>
    </row>
    <row r="239" spans="1:2">
      <c r="A239"/>
      <c r="B239"/>
    </row>
    <row r="240" spans="1:2">
      <c r="A240"/>
      <c r="B240"/>
    </row>
    <row r="241" spans="1:2">
      <c r="A241"/>
      <c r="B241"/>
    </row>
    <row r="242" spans="1:2">
      <c r="A242"/>
      <c r="B242"/>
    </row>
    <row r="243" spans="1:2">
      <c r="A243"/>
      <c r="B243"/>
    </row>
    <row r="244" spans="1:2">
      <c r="A244"/>
      <c r="B244"/>
    </row>
    <row r="245" spans="1:2">
      <c r="A245"/>
      <c r="B245"/>
    </row>
    <row r="246" spans="1:2">
      <c r="A246"/>
      <c r="B246"/>
    </row>
    <row r="247" spans="1:2">
      <c r="A247"/>
      <c r="B247"/>
    </row>
    <row r="248" spans="1:2">
      <c r="A248"/>
      <c r="B248"/>
    </row>
    <row r="249" spans="1:2">
      <c r="A249"/>
      <c r="B249"/>
    </row>
    <row r="250" spans="1:2">
      <c r="A250"/>
      <c r="B250"/>
    </row>
    <row r="251" spans="1:2">
      <c r="A251"/>
      <c r="B251"/>
    </row>
    <row r="252" spans="1:2">
      <c r="A252"/>
      <c r="B252"/>
    </row>
    <row r="253" spans="1:2">
      <c r="A253"/>
      <c r="B253"/>
    </row>
    <row r="254" spans="1:2">
      <c r="A254"/>
      <c r="B254"/>
    </row>
    <row r="255" spans="1:2">
      <c r="A255"/>
      <c r="B255"/>
    </row>
    <row r="256" spans="1:2">
      <c r="A256"/>
      <c r="B256"/>
    </row>
    <row r="257" spans="1:2">
      <c r="A257"/>
      <c r="B257"/>
    </row>
    <row r="258" spans="1:2">
      <c r="A258"/>
      <c r="B258"/>
    </row>
    <row r="259" spans="1:2">
      <c r="A259"/>
      <c r="B259"/>
    </row>
  </sheetData>
  <dataValidations count="2">
    <dataValidation type="list" allowBlank="1" showInputMessage="1" showErrorMessage="1" sqref="J2 K2 L2 M2:P2 J61 K61 L61 M61:P61 J92 K92 L92 J3:J60 J62:J91 J93:J500 K3:K60 K62:K91 K93:K500 L3:L60 L62:L91 L93:L500 M3:P60 M93:P500 M62:P92">
      <formula1>'[2]DO NOT CHANGE or DELETE'!#REF!</formula1>
    </dataValidation>
    <dataValidation type="list" allowBlank="1" showInputMessage="1" showErrorMessage="1" sqref="Q2:T2 U2 V2:AA2 Q3:T3 U3 V3:AA3 G7 Q7:T7 U7 V7:AA7 G23 G67 G90 G96 G125 G135 G2:G3 G4:G6 G8:G10 G11:G14 G15:G22 G24:G30 G31:G37 G38:G66 G68:G77 G78:G81 G82:G85 G86:G87 G88:G89 G91:G95 G97:G110 G111:G118 G119:G124 G126:G134 G136:G145 G146:G148 G149:G160 G161:G495 U4:U6 U8:U10 U11:U134 U135:U145 U146:U495 Q4:T6 Q8:T10 Q11:T495 V4:AA6 V8:AA10 V11:AA495">
      <formula1>'[1]DO NOT CHANGE or DELETE'!#REF!</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16"/>
  <sheetViews>
    <sheetView workbookViewId="0">
      <selection activeCell="D3" sqref="D3"/>
    </sheetView>
  </sheetViews>
  <sheetFormatPr defaultColWidth="9.14285714285714" defaultRowHeight="15" outlineLevelCol="4"/>
  <cols>
    <col min="2" max="4" width="30.7142857142857" customWidth="1"/>
    <col min="5" max="5" width="42.2857142857143" customWidth="1"/>
    <col min="6" max="6" width="22.7142857142857" customWidth="1"/>
  </cols>
  <sheetData>
    <row r="2" ht="23.25" spans="3:4">
      <c r="C2" s="1" t="s">
        <v>474</v>
      </c>
      <c r="D2" s="1" t="s">
        <v>475</v>
      </c>
    </row>
    <row r="5" ht="23.25" spans="2:5">
      <c r="B5" s="1" t="s">
        <v>28</v>
      </c>
      <c r="C5" s="1" t="s">
        <v>476</v>
      </c>
      <c r="D5" s="1" t="s">
        <v>477</v>
      </c>
      <c r="E5" s="1" t="s">
        <v>478</v>
      </c>
    </row>
    <row r="6" ht="23.25" spans="2:5">
      <c r="B6" s="2" t="s">
        <v>479</v>
      </c>
      <c r="C6" s="2"/>
      <c r="D6" s="2"/>
      <c r="E6" s="3">
        <f t="shared" ref="E6:E12" si="0">SUM(C6:D6)</f>
        <v>0</v>
      </c>
    </row>
    <row r="7" ht="23.25" spans="2:5">
      <c r="B7" s="2" t="s">
        <v>480</v>
      </c>
      <c r="C7" s="2"/>
      <c r="D7" s="2"/>
      <c r="E7" s="3">
        <f t="shared" si="0"/>
        <v>0</v>
      </c>
    </row>
    <row r="8" ht="23.25" spans="2:5">
      <c r="B8" s="2" t="s">
        <v>481</v>
      </c>
      <c r="C8" s="2"/>
      <c r="D8" s="2"/>
      <c r="E8" s="3">
        <f t="shared" si="0"/>
        <v>0</v>
      </c>
    </row>
    <row r="9" ht="23.25" spans="2:5">
      <c r="B9" s="2" t="s">
        <v>482</v>
      </c>
      <c r="C9" s="2"/>
      <c r="D9" s="2"/>
      <c r="E9" s="3">
        <f t="shared" si="0"/>
        <v>0</v>
      </c>
    </row>
    <row r="10" ht="23.25" spans="2:5">
      <c r="B10" s="2" t="s">
        <v>483</v>
      </c>
      <c r="C10" s="2"/>
      <c r="D10" s="2"/>
      <c r="E10" s="3">
        <f t="shared" si="0"/>
        <v>0</v>
      </c>
    </row>
    <row r="11" ht="23.25" spans="2:5">
      <c r="B11" s="2" t="s">
        <v>484</v>
      </c>
      <c r="C11" s="2"/>
      <c r="D11" s="2"/>
      <c r="E11" s="3">
        <f t="shared" si="0"/>
        <v>0</v>
      </c>
    </row>
    <row r="12" ht="23.25" spans="2:5">
      <c r="B12" s="2" t="s">
        <v>485</v>
      </c>
      <c r="C12" s="2"/>
      <c r="D12" s="2"/>
      <c r="E12" s="3">
        <f t="shared" si="0"/>
        <v>0</v>
      </c>
    </row>
    <row r="15" ht="23.25" spans="2:4">
      <c r="B15" s="1" t="s">
        <v>486</v>
      </c>
      <c r="C15" s="1" t="s">
        <v>487</v>
      </c>
      <c r="D15" s="1" t="s">
        <v>488</v>
      </c>
    </row>
    <row r="16" ht="23.25" spans="2:4">
      <c r="B16" s="2">
        <f>COUNTIF(Toolkit!G1:G500,"Clause")</f>
        <v>7</v>
      </c>
      <c r="C16" s="2">
        <f>COUNTIF(Toolkit!G1:G500,"Control")</f>
        <v>22</v>
      </c>
      <c r="D16" s="2">
        <f>COUNTIF(Toolkit!G1:G500,"Sub-control")</f>
        <v>125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8"/>
  <sheetViews>
    <sheetView workbookViewId="0">
      <selection activeCell="B8" sqref="B8"/>
    </sheetView>
  </sheetViews>
  <sheetFormatPr defaultColWidth="9.14285714285714" defaultRowHeight="15" outlineLevelRow="7" outlineLevelCol="3"/>
  <cols>
    <col min="2" max="2" width="12.1428571428571" customWidth="1"/>
    <col min="4" max="4" width="41.7142857142857" customWidth="1"/>
  </cols>
  <sheetData>
    <row r="2" spans="2:2">
      <c r="B2" t="s">
        <v>28</v>
      </c>
    </row>
    <row r="3" spans="2:2">
      <c r="B3" t="s">
        <v>32</v>
      </c>
    </row>
    <row r="4" spans="2:2">
      <c r="B4" t="s">
        <v>38</v>
      </c>
    </row>
    <row r="5" spans="4:4">
      <c r="D5" t="s">
        <v>489</v>
      </c>
    </row>
    <row r="8" spans="2:2">
      <c r="B8" t="b">
        <v>1</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BCF17A8-A02F-4F2D-BFA6-2F429B91C0EC}">
  <ds:schemaRefs/>
</ds:datastoreItem>
</file>

<file path=customXml/itemProps2.xml><?xml version="1.0" encoding="utf-8"?>
<ds:datastoreItem xmlns:ds="http://schemas.openxmlformats.org/officeDocument/2006/customXml" ds:itemID="{43296538-9B7B-4E58-B428-DF554499E5EA}">
  <ds:schemaRefs/>
</ds:datastoreItem>
</file>

<file path=customXml/itemProps3.xml><?xml version="1.0" encoding="utf-8"?>
<ds:datastoreItem xmlns:ds="http://schemas.openxmlformats.org/officeDocument/2006/customXml" ds:itemID="{838E0AA6-2B44-4464-9A29-85E184514FA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Toolkit</vt:lpstr>
      <vt:lpstr>Overview</vt:lpstr>
      <vt:lpstr>DO NOT CHANGE or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dc:creator>
  <cp:lastModifiedBy>Zain</cp:lastModifiedBy>
  <dcterms:created xsi:type="dcterms:W3CDTF">2021-03-08T18:00:00Z</dcterms:created>
  <dcterms:modified xsi:type="dcterms:W3CDTF">2023-05-11T09:18:35Z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0x01010016F54CC9C9558840B609D095F7B1EF36</vt:lpwstr>
  </property>
  <property fmtid="{D5CDD505-2E9C-101B-9397-08002B2CF9AE}" pid="3" name="ICV">
    <vt:lpwstr>1BDCDC808A574752A8592CFF76F214A0</vt:lpwstr>
  </property>
  <property fmtid="{D5CDD505-2E9C-101B-9397-08002B2CF9AE}" pid="4" name="KSOProductBuildVer">
    <vt:lpwstr>2057-11.2.0.11537</vt:lpwstr>
  </property>
</Properties>
</file>